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1" activeTab="1" autoFilterDateGrouping="1"/>
  </bookViews>
  <sheets>
    <sheet name="HomeOffice" sheetId="1" state="hidden" r:id="rId1"/>
    <sheet name="BASE" sheetId="2" state="visible" r:id="rId2"/>
    <sheet name="Ano de 2026" sheetId="3" state="visible" r:id="rId3"/>
    <sheet name="Novo HomeOffice Geral" sheetId="4" state="visible" r:id="rId4"/>
    <sheet name="Rota 1 - PX 1685" sheetId="5" state="visible" r:id="rId5"/>
    <sheet name="Rota 2 - PX 1683" sheetId="6" state="visible" r:id="rId6"/>
    <sheet name="Rota 3 - PX 1722" sheetId="7" state="visible" r:id="rId7"/>
    <sheet name="Rota 4 - PX 1675" sheetId="8" state="visible" r:id="rId8"/>
    <sheet name="Rota 5 - PX 1688" sheetId="9" state="visible" r:id="rId9"/>
    <sheet name="Rota 6 Turno  - PX 1719" sheetId="10" state="visible" r:id="rId10"/>
  </sheets>
  <definedNames>
    <definedName name="_xlnm._FilterDatabase" localSheetId="1" hidden="1">'BASE'!$A$1:$F$36</definedName>
    <definedName name="_xlnm._FilterDatabase" localSheetId="3" hidden="1">'Novo HomeOffice Geral'!$A$1:$H$43</definedName>
    <definedName name="_xlnm._FilterDatabase" localSheetId="6" hidden="1">'Rota 3 - PX 1722'!$A$1:$H$32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Times New Roman"/>
      <family val="1"/>
      <b val="1"/>
      <color theme="1"/>
      <sz val="9"/>
    </font>
    <font>
      <name val="Times New Roman"/>
      <family val="1"/>
      <color theme="1"/>
      <sz val="9"/>
    </font>
    <font>
      <name val="Times New Roman"/>
      <family val="1"/>
      <b val="1"/>
      <sz val="9"/>
    </font>
    <font>
      <name val="Times New Roman"/>
      <family val="1"/>
      <sz val="9"/>
    </font>
    <font>
      <name val="Calibri"/>
      <family val="2"/>
      <color theme="1"/>
      <sz val="9"/>
      <scheme val="minor"/>
    </font>
    <font>
      <name val="Tahoma"/>
      <family val="2"/>
      <b val="1"/>
      <color theme="1"/>
      <sz val="9"/>
    </font>
    <font>
      <name val="Tahoma"/>
      <family val="2"/>
      <sz val="9"/>
    </font>
    <font>
      <name val="Tahoma"/>
      <family val="2"/>
      <color theme="1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EE6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4" fontId="6" fillId="5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center"/>
    </xf>
    <xf numFmtId="0" fontId="1" fillId="0" borderId="0" pivotButton="0" quotePrefix="0" xfId="0"/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/>
    </xf>
    <xf numFmtId="0" fontId="12" fillId="0" borderId="1" pivotButton="0" quotePrefix="0" xfId="0"/>
    <xf numFmtId="0" fontId="12" fillId="0" borderId="1" applyAlignment="1" pivotButton="0" quotePrefix="0" xfId="0">
      <alignment horizontal="center"/>
    </xf>
    <xf numFmtId="0" fontId="3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applyAlignment="1" pivotButton="0" quotePrefix="0" xfId="0">
      <alignment horizontal="center"/>
    </xf>
    <xf numFmtId="0" fontId="0" fillId="0" borderId="6" pivotButton="0" quotePrefix="0" xfId="0"/>
    <xf numFmtId="0" fontId="0" fillId="0" borderId="5" pivotButton="0" quotePrefix="0" xfId="0"/>
    <xf numFmtId="0" fontId="12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13" fillId="0" borderId="0" applyAlignment="1" pivotButton="0" quotePrefix="0" xfId="0">
      <alignment horizontal="center"/>
    </xf>
    <xf numFmtId="0" fontId="2" fillId="3" borderId="1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4" fillId="5" borderId="13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2" borderId="1" pivotButton="0" quotePrefix="0" xfId="0"/>
    <xf numFmtId="0" fontId="14" fillId="0" borderId="0" applyAlignment="1" pivotButton="0" quotePrefix="0" xfId="0">
      <alignment horizontal="center"/>
    </xf>
    <xf numFmtId="16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5" borderId="1" applyAlignment="1" pivotButton="0" quotePrefix="0" xfId="0">
      <alignment horizontal="center"/>
    </xf>
  </cellXfs>
  <cellStyles count="1">
    <cellStyle name="Normal" xfId="0" builtinId="0"/>
  </cellStyles>
  <dxfs count="164"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FF0000"/>
      </font>
      <fill>
        <patternFill>
          <bgColor theme="5" tint="0.7999816888943144"/>
        </patternFill>
      </fill>
      <border>
        <left/>
        <right/>
        <top/>
        <bottom/>
        <vertical/>
        <horizontal/>
      </border>
    </dxf>
    <dxf>
      <font>
        <b val="1"/>
        <color rgb="FF19A028"/>
      </font>
      <fill>
        <patternFill>
          <fgColor rgb="FF19A028"/>
        </patternFill>
      </fill>
      <border>
        <left/>
        <right/>
        <top/>
        <bottom/>
        <vertical/>
        <horizontal/>
      </border>
    </dxf>
    <dxf>
      <font>
        <b val="1"/>
        <color rgb="FFFF7A00"/>
      </font>
    </dxf>
    <dxf>
      <font>
        <b val="1"/>
        <color rgb="FF19A028"/>
      </font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Segmentação de Dados 1" pivot="0" table="0" count="2">
      <tableStyleElement type="wholeTable" dxfId="163"/>
      <tableStyleElement type="headerRow" dxfId="162"/>
    </tableStyle>
    <tableStyle name="Estilo de Tabela Dinâmica 1" table="0" count="2">
      <tableStyleElement type="wholeTable" dxfId="161"/>
      <tableStyleElement type="headerRow" dxfId="16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showGridLines="0" workbookViewId="0">
      <selection activeCell="D15" sqref="D15"/>
    </sheetView>
  </sheetViews>
  <sheetFormatPr baseColWidth="8" defaultRowHeight="14.25"/>
  <cols>
    <col width="9.1328125" customWidth="1" style="7" min="1" max="1"/>
    <col width="7.86328125" customWidth="1" style="7" min="2" max="2"/>
    <col width="14.1328125" bestFit="1" customWidth="1" style="7" min="3" max="3"/>
    <col width="35.86328125" bestFit="1" customWidth="1" style="7" min="4" max="4"/>
    <col width="15.3984375" bestFit="1" customWidth="1" style="6" min="5" max="5"/>
    <col width="12.265625" bestFit="1" customWidth="1" style="6" min="6" max="6"/>
    <col width="14.265625" bestFit="1" customWidth="1" style="6" min="7" max="7"/>
    <col width="13.86328125" bestFit="1" customWidth="1" style="6" min="8" max="8"/>
    <col width="12.1328125" bestFit="1" customWidth="1" style="6" min="9" max="9"/>
    <col hidden="1" width="13" customWidth="1" style="7" min="11" max="11"/>
  </cols>
  <sheetData>
    <row r="1" ht="32.25" customFormat="1" customHeight="1" s="1">
      <c r="A1" s="4" t="inlineStr">
        <is>
          <t>ROTA</t>
        </is>
      </c>
      <c r="B1" s="4" t="inlineStr">
        <is>
          <t>PX</t>
        </is>
      </c>
      <c r="C1" s="4" t="inlineStr">
        <is>
          <t>VEÍCULOS</t>
        </is>
      </c>
      <c r="D1" s="5" t="inlineStr">
        <is>
          <t>COLABORADOR</t>
        </is>
      </c>
      <c r="E1" s="4" t="inlineStr">
        <is>
          <t>SEGUNDA-FEIRA</t>
        </is>
      </c>
      <c r="F1" s="4" t="inlineStr">
        <is>
          <t>TERÇA-FEIRA</t>
        </is>
      </c>
      <c r="G1" s="4" t="inlineStr">
        <is>
          <t>QUARTA-FEIRA</t>
        </is>
      </c>
      <c r="H1" s="4" t="inlineStr">
        <is>
          <t>QUINTA-FEIRA</t>
        </is>
      </c>
      <c r="I1" s="4" t="inlineStr">
        <is>
          <t>SEXTA-FEIRA</t>
        </is>
      </c>
    </row>
    <row r="2">
      <c r="A2" s="6" t="n">
        <v>1</v>
      </c>
      <c r="B2" s="6" t="n">
        <v>1661</v>
      </c>
      <c r="C2" s="6" t="inlineStr">
        <is>
          <t>POLO</t>
        </is>
      </c>
      <c r="D2" t="inlineStr">
        <is>
          <t>Cristiane Gomes Apolinário Gonçalves</t>
        </is>
      </c>
      <c r="E2" s="6" t="inlineStr">
        <is>
          <t xml:space="preserve">Presencial </t>
        </is>
      </c>
      <c r="F2" s="6" t="inlineStr">
        <is>
          <t xml:space="preserve">Presencial </t>
        </is>
      </c>
      <c r="G2" s="6" t="inlineStr">
        <is>
          <t xml:space="preserve">Presencial </t>
        </is>
      </c>
      <c r="H2" s="6" t="inlineStr">
        <is>
          <t xml:space="preserve">Presencial </t>
        </is>
      </c>
      <c r="I2" s="6" t="inlineStr">
        <is>
          <t xml:space="preserve">Presencial </t>
        </is>
      </c>
      <c r="K2" s="6" t="inlineStr">
        <is>
          <t>Home Office</t>
        </is>
      </c>
    </row>
    <row r="3" ht="14.45" customHeight="1" s="7">
      <c r="A3" s="3" t="n">
        <v>1</v>
      </c>
      <c r="B3" s="3" t="n">
        <v>1661</v>
      </c>
      <c r="C3" s="3" t="inlineStr">
        <is>
          <t>POLO</t>
        </is>
      </c>
      <c r="D3" s="2" t="inlineStr">
        <is>
          <t xml:space="preserve">Elvis Manoel da Silva </t>
        </is>
      </c>
      <c r="E3" s="3" t="inlineStr">
        <is>
          <t xml:space="preserve">Presencial </t>
        </is>
      </c>
      <c r="F3" s="3" t="inlineStr">
        <is>
          <t>Home Office</t>
        </is>
      </c>
      <c r="G3" s="3" t="inlineStr">
        <is>
          <t xml:space="preserve">Presencial </t>
        </is>
      </c>
      <c r="H3" s="3" t="inlineStr">
        <is>
          <t xml:space="preserve">Presencial </t>
        </is>
      </c>
      <c r="I3" s="3" t="inlineStr">
        <is>
          <t xml:space="preserve">Presencial </t>
        </is>
      </c>
      <c r="K3" s="6" t="inlineStr">
        <is>
          <t xml:space="preserve">Presencial </t>
        </is>
      </c>
    </row>
    <row r="4" ht="14.45" customHeight="1" s="7">
      <c r="A4" s="6" t="n">
        <v>1</v>
      </c>
      <c r="B4" s="6" t="n">
        <v>1661</v>
      </c>
      <c r="C4" s="6" t="inlineStr">
        <is>
          <t>POLO</t>
        </is>
      </c>
      <c r="D4" t="inlineStr">
        <is>
          <t xml:space="preserve">Fernando Fonseca Cavalcante </t>
        </is>
      </c>
      <c r="E4" s="6" t="inlineStr">
        <is>
          <t xml:space="preserve">Presencial </t>
        </is>
      </c>
      <c r="F4" s="6" t="inlineStr">
        <is>
          <t xml:space="preserve">Presencial </t>
        </is>
      </c>
      <c r="G4" s="6" t="inlineStr">
        <is>
          <t>Home Office</t>
        </is>
      </c>
      <c r="H4" s="6" t="inlineStr">
        <is>
          <t xml:space="preserve">Presencial </t>
        </is>
      </c>
      <c r="I4" s="6" t="inlineStr">
        <is>
          <t>Home Office</t>
        </is>
      </c>
    </row>
    <row r="5" ht="14.45" customHeight="1" s="7">
      <c r="A5" s="3" t="n">
        <v>1</v>
      </c>
      <c r="B5" s="3" t="n">
        <v>1661</v>
      </c>
      <c r="C5" s="3" t="inlineStr">
        <is>
          <t>POLO</t>
        </is>
      </c>
      <c r="D5" s="2" t="inlineStr">
        <is>
          <t xml:space="preserve">Thiago Aparecido Cavalcante Damasio </t>
        </is>
      </c>
      <c r="E5" s="3" t="inlineStr">
        <is>
          <t xml:space="preserve">Presencial </t>
        </is>
      </c>
      <c r="F5" s="3" t="inlineStr">
        <is>
          <t>Home Office</t>
        </is>
      </c>
      <c r="G5" s="3" t="inlineStr">
        <is>
          <t xml:space="preserve">Presencial </t>
        </is>
      </c>
      <c r="H5" s="3" t="inlineStr">
        <is>
          <t>Home Office</t>
        </is>
      </c>
      <c r="I5" s="3" t="inlineStr">
        <is>
          <t xml:space="preserve">Presencial </t>
        </is>
      </c>
    </row>
    <row r="6" ht="14.45" customHeight="1" s="7">
      <c r="A6" s="6" t="n">
        <v>2</v>
      </c>
      <c r="B6" s="6" t="n">
        <v>1662</v>
      </c>
      <c r="C6" s="6" t="inlineStr">
        <is>
          <t>POLO</t>
        </is>
      </c>
      <c r="D6" t="inlineStr">
        <is>
          <t>Gessimon Aprigio Alves</t>
        </is>
      </c>
      <c r="E6" s="6" t="inlineStr">
        <is>
          <t xml:space="preserve">Presencial </t>
        </is>
      </c>
      <c r="F6" s="6" t="inlineStr">
        <is>
          <t xml:space="preserve">Presencial </t>
        </is>
      </c>
      <c r="G6" s="6" t="inlineStr">
        <is>
          <t xml:space="preserve">Presencial </t>
        </is>
      </c>
      <c r="H6" s="6" t="inlineStr">
        <is>
          <t xml:space="preserve">Presencial </t>
        </is>
      </c>
      <c r="I6" s="6" t="inlineStr">
        <is>
          <t xml:space="preserve">Presencial </t>
        </is>
      </c>
    </row>
    <row r="7">
      <c r="A7" s="3" t="n">
        <v>2</v>
      </c>
      <c r="B7" s="3" t="n">
        <v>1662</v>
      </c>
      <c r="C7" s="3" t="inlineStr">
        <is>
          <t>POLO</t>
        </is>
      </c>
      <c r="D7" s="2" t="inlineStr">
        <is>
          <t>Paulo Sérgio da Silva</t>
        </is>
      </c>
      <c r="E7" s="3" t="inlineStr">
        <is>
          <t xml:space="preserve">Presencial </t>
        </is>
      </c>
      <c r="F7" s="3" t="inlineStr">
        <is>
          <t xml:space="preserve">Presencial </t>
        </is>
      </c>
      <c r="G7" s="3" t="inlineStr">
        <is>
          <t xml:space="preserve">Presencial </t>
        </is>
      </c>
      <c r="H7" s="3" t="inlineStr">
        <is>
          <t xml:space="preserve">Presencial </t>
        </is>
      </c>
      <c r="I7" s="3" t="inlineStr">
        <is>
          <t xml:space="preserve">Presencial </t>
        </is>
      </c>
    </row>
    <row r="8" ht="14.45" customHeight="1" s="7">
      <c r="A8" s="6" t="n">
        <v>2</v>
      </c>
      <c r="B8" s="6" t="n">
        <v>1662</v>
      </c>
      <c r="C8" s="6" t="inlineStr">
        <is>
          <t>POLO</t>
        </is>
      </c>
      <c r="D8" t="inlineStr">
        <is>
          <t>Leuslei Miguel Soares</t>
        </is>
      </c>
      <c r="E8" s="6" t="inlineStr">
        <is>
          <t xml:space="preserve">Presencial </t>
        </is>
      </c>
      <c r="F8" s="6" t="inlineStr">
        <is>
          <t xml:space="preserve">Presencial </t>
        </is>
      </c>
      <c r="G8" s="6" t="inlineStr">
        <is>
          <t xml:space="preserve">Presencial </t>
        </is>
      </c>
      <c r="H8" s="6" t="inlineStr">
        <is>
          <t xml:space="preserve">Presencial </t>
        </is>
      </c>
      <c r="I8" s="6" t="inlineStr">
        <is>
          <t xml:space="preserve">Presencial </t>
        </is>
      </c>
    </row>
    <row r="9" ht="14.45" customHeight="1" s="7">
      <c r="A9" s="3" t="n">
        <v>2</v>
      </c>
      <c r="B9" s="3" t="n">
        <v>1662</v>
      </c>
      <c r="C9" s="3" t="inlineStr">
        <is>
          <t>POLO</t>
        </is>
      </c>
      <c r="D9" s="2" t="inlineStr">
        <is>
          <t>Thaline Campanate Silva</t>
        </is>
      </c>
      <c r="E9" s="3" t="inlineStr">
        <is>
          <t>Home Office</t>
        </is>
      </c>
      <c r="F9" s="3" t="inlineStr">
        <is>
          <t xml:space="preserve">Presencial </t>
        </is>
      </c>
      <c r="G9" s="3" t="inlineStr">
        <is>
          <t>Home Office</t>
        </is>
      </c>
      <c r="H9" s="3" t="inlineStr">
        <is>
          <t xml:space="preserve">Presencial </t>
        </is>
      </c>
      <c r="I9" s="3" t="inlineStr">
        <is>
          <t>Home Office</t>
        </is>
      </c>
    </row>
    <row r="10" customFormat="1" s="46">
      <c r="A10" s="6" t="n">
        <v>3</v>
      </c>
      <c r="B10" s="10" t="n">
        <v>1663</v>
      </c>
      <c r="C10" s="10" t="inlineStr">
        <is>
          <t>POLO</t>
        </is>
      </c>
      <c r="D10" s="46" t="inlineStr">
        <is>
          <t>Carlos Henrique Apolinário da Silva</t>
        </is>
      </c>
      <c r="E10" s="10" t="inlineStr">
        <is>
          <t xml:space="preserve">Presencial </t>
        </is>
      </c>
      <c r="F10" s="10" t="inlineStr">
        <is>
          <t xml:space="preserve">Presencial </t>
        </is>
      </c>
      <c r="G10" s="10" t="inlineStr">
        <is>
          <t xml:space="preserve">Presencial </t>
        </is>
      </c>
      <c r="H10" s="10" t="inlineStr">
        <is>
          <t xml:space="preserve">Presencial </t>
        </is>
      </c>
      <c r="I10" s="10" t="inlineStr">
        <is>
          <t xml:space="preserve">Presencial </t>
        </is>
      </c>
    </row>
    <row r="11" customFormat="1" s="46">
      <c r="A11" s="3" t="n">
        <v>3</v>
      </c>
      <c r="B11" s="11" t="n">
        <v>1663</v>
      </c>
      <c r="C11" s="11" t="inlineStr">
        <is>
          <t>POLO</t>
        </is>
      </c>
      <c r="D11" s="12" t="inlineStr">
        <is>
          <t>Joselicy Gusmão Alves</t>
        </is>
      </c>
      <c r="E11" s="11" t="inlineStr">
        <is>
          <t xml:space="preserve">Presencial </t>
        </is>
      </c>
      <c r="F11" s="11" t="inlineStr">
        <is>
          <t xml:space="preserve">Presencial </t>
        </is>
      </c>
      <c r="G11" s="11" t="inlineStr">
        <is>
          <t xml:space="preserve">Presencial </t>
        </is>
      </c>
      <c r="H11" s="11" t="inlineStr">
        <is>
          <t xml:space="preserve">Presencial </t>
        </is>
      </c>
      <c r="I11" s="11" t="inlineStr">
        <is>
          <t xml:space="preserve">Presencial </t>
        </is>
      </c>
    </row>
    <row r="12" customFormat="1" s="46">
      <c r="A12" s="6" t="n">
        <v>3</v>
      </c>
      <c r="B12" s="10" t="n">
        <v>1663</v>
      </c>
      <c r="C12" s="10" t="inlineStr">
        <is>
          <t>POLO</t>
        </is>
      </c>
      <c r="D12" s="46" t="inlineStr">
        <is>
          <t>Armando Donizette Miranda</t>
        </is>
      </c>
      <c r="E12" s="10" t="inlineStr">
        <is>
          <t xml:space="preserve">Presencial </t>
        </is>
      </c>
      <c r="F12" s="10" t="inlineStr">
        <is>
          <t xml:space="preserve">Presencial </t>
        </is>
      </c>
      <c r="G12" s="10" t="inlineStr">
        <is>
          <t xml:space="preserve">Presencial </t>
        </is>
      </c>
      <c r="H12" s="10" t="inlineStr">
        <is>
          <t xml:space="preserve">Presencial </t>
        </is>
      </c>
      <c r="I12" s="10" t="inlineStr">
        <is>
          <t xml:space="preserve">Presencial </t>
        </is>
      </c>
    </row>
    <row r="13" customFormat="1" s="46">
      <c r="A13" s="3" t="n">
        <v>3</v>
      </c>
      <c r="B13" s="11" t="n">
        <v>1663</v>
      </c>
      <c r="C13" s="11" t="inlineStr">
        <is>
          <t>POLO</t>
        </is>
      </c>
      <c r="D13" s="12" t="inlineStr">
        <is>
          <t>Wellyskley Martins de Oliveira</t>
        </is>
      </c>
      <c r="E13" s="11" t="inlineStr">
        <is>
          <t xml:space="preserve">Presencial </t>
        </is>
      </c>
      <c r="F13" s="11" t="inlineStr">
        <is>
          <t xml:space="preserve">Presencial </t>
        </is>
      </c>
      <c r="G13" s="11" t="inlineStr">
        <is>
          <t xml:space="preserve">Presencial </t>
        </is>
      </c>
      <c r="H13" s="11" t="inlineStr">
        <is>
          <t xml:space="preserve">Presencial </t>
        </is>
      </c>
      <c r="I13" s="11" t="inlineStr">
        <is>
          <t xml:space="preserve">Presencial </t>
        </is>
      </c>
    </row>
    <row r="14">
      <c r="A14" s="10" t="n">
        <v>4</v>
      </c>
      <c r="B14" s="6" t="n">
        <v>1674</v>
      </c>
      <c r="C14" s="6" t="inlineStr">
        <is>
          <t>POLO</t>
        </is>
      </c>
      <c r="D14" t="inlineStr">
        <is>
          <t>Pablo Soeiro Arouche</t>
        </is>
      </c>
      <c r="E14" s="6" t="inlineStr">
        <is>
          <t xml:space="preserve">Presencial </t>
        </is>
      </c>
      <c r="F14" s="6" t="inlineStr">
        <is>
          <t xml:space="preserve">Presencial </t>
        </is>
      </c>
      <c r="G14" s="6" t="inlineStr">
        <is>
          <t xml:space="preserve">Presencial </t>
        </is>
      </c>
      <c r="H14" s="6" t="inlineStr">
        <is>
          <t xml:space="preserve">Presencial </t>
        </is>
      </c>
      <c r="I14" s="6" t="inlineStr">
        <is>
          <t xml:space="preserve">Presencial </t>
        </is>
      </c>
    </row>
    <row r="15">
      <c r="A15" s="11" t="n">
        <v>4</v>
      </c>
      <c r="B15" s="3" t="n">
        <v>1674</v>
      </c>
      <c r="C15" s="3" t="inlineStr">
        <is>
          <t>POLO</t>
        </is>
      </c>
      <c r="D15" s="2" t="inlineStr">
        <is>
          <t xml:space="preserve">Eris Rodrigues Arantes </t>
        </is>
      </c>
      <c r="E15" s="3" t="inlineStr">
        <is>
          <t xml:space="preserve">Presencial </t>
        </is>
      </c>
      <c r="F15" s="3" t="inlineStr">
        <is>
          <t xml:space="preserve">Presencial </t>
        </is>
      </c>
      <c r="G15" s="3" t="inlineStr">
        <is>
          <t xml:space="preserve">Presencial </t>
        </is>
      </c>
      <c r="H15" s="3" t="inlineStr">
        <is>
          <t xml:space="preserve">Presencial </t>
        </is>
      </c>
      <c r="I15" s="3" t="inlineStr">
        <is>
          <t xml:space="preserve">Presencial </t>
        </is>
      </c>
    </row>
    <row r="16">
      <c r="A16" s="10" t="n">
        <v>4</v>
      </c>
      <c r="B16" s="6" t="n">
        <v>1674</v>
      </c>
      <c r="C16" s="6" t="inlineStr">
        <is>
          <t>POLO</t>
        </is>
      </c>
      <c r="D16" t="inlineStr">
        <is>
          <t>Emilly Samara Muniz Bezerra</t>
        </is>
      </c>
      <c r="E16" s="6" t="inlineStr">
        <is>
          <t xml:space="preserve">Presencial </t>
        </is>
      </c>
      <c r="F16" s="6" t="inlineStr">
        <is>
          <t xml:space="preserve">Presencial </t>
        </is>
      </c>
      <c r="G16" s="6" t="inlineStr">
        <is>
          <t xml:space="preserve">Presencial </t>
        </is>
      </c>
      <c r="H16" s="6" t="inlineStr">
        <is>
          <t xml:space="preserve">Presencial </t>
        </is>
      </c>
      <c r="I16" s="6" t="inlineStr">
        <is>
          <t xml:space="preserve">Presencial </t>
        </is>
      </c>
    </row>
    <row r="17">
      <c r="A17" s="11" t="n">
        <v>4</v>
      </c>
      <c r="B17" s="3" t="n">
        <v>1674</v>
      </c>
      <c r="C17" s="3" t="inlineStr">
        <is>
          <t>POLO</t>
        </is>
      </c>
      <c r="D17" s="2" t="inlineStr">
        <is>
          <t>Rosimar Carioca Lopes</t>
        </is>
      </c>
      <c r="E17" s="3" t="inlineStr">
        <is>
          <t xml:space="preserve">Presencial </t>
        </is>
      </c>
      <c r="F17" s="3" t="inlineStr">
        <is>
          <t xml:space="preserve">Presencial </t>
        </is>
      </c>
      <c r="G17" s="3" t="inlineStr">
        <is>
          <t xml:space="preserve">Presencial </t>
        </is>
      </c>
      <c r="H17" s="3" t="inlineStr">
        <is>
          <t xml:space="preserve">Presencial </t>
        </is>
      </c>
      <c r="I17" s="3" t="inlineStr">
        <is>
          <t xml:space="preserve">Presencial </t>
        </is>
      </c>
    </row>
    <row r="18" customFormat="1" s="56">
      <c r="A18" s="9" t="n">
        <v>4</v>
      </c>
      <c r="B18" s="9" t="n">
        <v>1674</v>
      </c>
      <c r="C18" s="9" t="inlineStr">
        <is>
          <t>POLO</t>
        </is>
      </c>
      <c r="D18" s="56" t="inlineStr">
        <is>
          <t>Enilton Aparecido Horacio</t>
        </is>
      </c>
      <c r="E18" s="9" t="inlineStr">
        <is>
          <t xml:space="preserve">Presencial </t>
        </is>
      </c>
      <c r="F18" s="9" t="inlineStr">
        <is>
          <t xml:space="preserve">Presencial </t>
        </is>
      </c>
      <c r="G18" s="9" t="inlineStr">
        <is>
          <t xml:space="preserve">Presencial </t>
        </is>
      </c>
      <c r="H18" s="9" t="inlineStr">
        <is>
          <t xml:space="preserve">Presencial </t>
        </is>
      </c>
      <c r="I18" s="9" t="inlineStr">
        <is>
          <t xml:space="preserve">Presencial </t>
        </is>
      </c>
    </row>
    <row r="19">
      <c r="A19" s="3" t="n">
        <v>5</v>
      </c>
      <c r="B19" s="3" t="n">
        <v>1686</v>
      </c>
      <c r="C19" s="3" t="inlineStr">
        <is>
          <t>SPIN</t>
        </is>
      </c>
      <c r="D19" s="2" t="inlineStr">
        <is>
          <t xml:space="preserve">Marcos Dias Moreira Junior </t>
        </is>
      </c>
      <c r="E19" s="3" t="inlineStr">
        <is>
          <t>Home Office</t>
        </is>
      </c>
      <c r="F19" s="3" t="inlineStr">
        <is>
          <t xml:space="preserve">Presencial </t>
        </is>
      </c>
      <c r="G19" s="3" t="inlineStr">
        <is>
          <t>Home Office</t>
        </is>
      </c>
      <c r="H19" s="3" t="inlineStr">
        <is>
          <t xml:space="preserve">Presencial </t>
        </is>
      </c>
      <c r="I19" s="3" t="inlineStr">
        <is>
          <t xml:space="preserve">Presencial </t>
        </is>
      </c>
    </row>
    <row r="20">
      <c r="A20" s="6" t="n">
        <v>5</v>
      </c>
      <c r="B20" s="6" t="n">
        <v>1686</v>
      </c>
      <c r="C20" s="6" t="inlineStr">
        <is>
          <t>SPIN</t>
        </is>
      </c>
      <c r="D20" t="inlineStr">
        <is>
          <t xml:space="preserve">Djalma José dos Santos Neto </t>
        </is>
      </c>
      <c r="E20" s="6" t="inlineStr">
        <is>
          <t xml:space="preserve">Presencial </t>
        </is>
      </c>
      <c r="F20" s="6" t="inlineStr">
        <is>
          <t xml:space="preserve">Presencial </t>
        </is>
      </c>
      <c r="G20" s="6" t="inlineStr">
        <is>
          <t xml:space="preserve">Presencial </t>
        </is>
      </c>
      <c r="H20" s="6" t="inlineStr">
        <is>
          <t xml:space="preserve">Presencial </t>
        </is>
      </c>
      <c r="I20" s="6" t="inlineStr">
        <is>
          <t xml:space="preserve">Presencial </t>
        </is>
      </c>
    </row>
    <row r="21">
      <c r="A21" s="3" t="n">
        <v>5</v>
      </c>
      <c r="B21" s="3" t="n">
        <v>1686</v>
      </c>
      <c r="C21" s="3" t="inlineStr">
        <is>
          <t>SPIN</t>
        </is>
      </c>
      <c r="D21" s="2" t="inlineStr">
        <is>
          <t>Osiel Camara de Souza</t>
        </is>
      </c>
      <c r="E21" s="3" t="inlineStr">
        <is>
          <t xml:space="preserve">Presencial </t>
        </is>
      </c>
      <c r="F21" s="3" t="inlineStr">
        <is>
          <t xml:space="preserve">Presencial </t>
        </is>
      </c>
      <c r="G21" s="3" t="inlineStr">
        <is>
          <t xml:space="preserve">Presencial </t>
        </is>
      </c>
      <c r="H21" s="3" t="inlineStr">
        <is>
          <t xml:space="preserve">Presencial </t>
        </is>
      </c>
      <c r="I21" s="3" t="inlineStr">
        <is>
          <t xml:space="preserve">Presencial </t>
        </is>
      </c>
    </row>
    <row r="22">
      <c r="A22" s="6" t="n">
        <v>5</v>
      </c>
      <c r="B22" s="6" t="n">
        <v>1686</v>
      </c>
      <c r="C22" s="6" t="inlineStr">
        <is>
          <t>SPIN</t>
        </is>
      </c>
      <c r="D22" t="inlineStr">
        <is>
          <t>Valdeci Moura da Silva</t>
        </is>
      </c>
      <c r="E22" s="6" t="inlineStr">
        <is>
          <t xml:space="preserve">Presencial </t>
        </is>
      </c>
      <c r="F22" s="6" t="inlineStr">
        <is>
          <t>Home Office</t>
        </is>
      </c>
      <c r="G22" s="6" t="inlineStr">
        <is>
          <t xml:space="preserve">Presencial </t>
        </is>
      </c>
      <c r="H22" s="6" t="inlineStr">
        <is>
          <t>Home Office</t>
        </is>
      </c>
      <c r="I22" s="6" t="inlineStr">
        <is>
          <t xml:space="preserve">Presencial </t>
        </is>
      </c>
    </row>
    <row r="23">
      <c r="A23" s="3" t="n">
        <v>5</v>
      </c>
      <c r="B23" s="3" t="n">
        <v>1686</v>
      </c>
      <c r="C23" s="3" t="inlineStr">
        <is>
          <t>SPIN</t>
        </is>
      </c>
      <c r="D23" s="2" t="inlineStr">
        <is>
          <t xml:space="preserve">Debora Duarte Ferreira Naves </t>
        </is>
      </c>
      <c r="E23" s="3" t="inlineStr">
        <is>
          <t xml:space="preserve">Presencial </t>
        </is>
      </c>
      <c r="F23" s="3" t="inlineStr">
        <is>
          <t xml:space="preserve">Presencial </t>
        </is>
      </c>
      <c r="G23" s="3" t="inlineStr">
        <is>
          <t>Home Office</t>
        </is>
      </c>
      <c r="H23" s="3" t="inlineStr">
        <is>
          <t xml:space="preserve">Presencial </t>
        </is>
      </c>
      <c r="I23" s="3" t="inlineStr">
        <is>
          <t>Home Office</t>
        </is>
      </c>
    </row>
    <row r="24">
      <c r="A24" s="6" t="n">
        <v>5</v>
      </c>
      <c r="B24" s="6" t="n">
        <v>1686</v>
      </c>
      <c r="C24" s="6" t="inlineStr">
        <is>
          <t>SPIN</t>
        </is>
      </c>
      <c r="D24" t="inlineStr">
        <is>
          <t>Leandro Cantalogo</t>
        </is>
      </c>
      <c r="E24" s="6" t="inlineStr">
        <is>
          <t xml:space="preserve">Presencial </t>
        </is>
      </c>
      <c r="F24" s="6" t="inlineStr">
        <is>
          <t xml:space="preserve">Presencial </t>
        </is>
      </c>
      <c r="G24" s="6" t="inlineStr">
        <is>
          <t>Home Office</t>
        </is>
      </c>
      <c r="H24" s="6" t="inlineStr">
        <is>
          <t xml:space="preserve">Presencial </t>
        </is>
      </c>
      <c r="I24" s="6" t="inlineStr">
        <is>
          <t>Home Office</t>
        </is>
      </c>
    </row>
    <row r="25">
      <c r="A25" s="3" t="n">
        <v>5</v>
      </c>
      <c r="B25" s="3" t="n">
        <v>1686</v>
      </c>
      <c r="C25" s="3" t="inlineStr">
        <is>
          <t>SPIN</t>
        </is>
      </c>
      <c r="D25" s="2" t="inlineStr">
        <is>
          <t xml:space="preserve">Cristiano Ribeiro </t>
        </is>
      </c>
      <c r="E25" s="3" t="inlineStr">
        <is>
          <t xml:space="preserve">Presencial </t>
        </is>
      </c>
      <c r="F25" s="3" t="inlineStr">
        <is>
          <t>Home Office</t>
        </is>
      </c>
      <c r="G25" s="3" t="inlineStr">
        <is>
          <t xml:space="preserve">Presencial </t>
        </is>
      </c>
      <c r="H25" s="3" t="inlineStr">
        <is>
          <t>Home Office</t>
        </is>
      </c>
      <c r="I25" s="3" t="inlineStr">
        <is>
          <t xml:space="preserve">Presencial </t>
        </is>
      </c>
    </row>
    <row r="26">
      <c r="A26" s="6" t="n">
        <v>6</v>
      </c>
      <c r="B26" s="6" t="n">
        <v>1687</v>
      </c>
      <c r="C26" s="6" t="inlineStr">
        <is>
          <t>SPIN</t>
        </is>
      </c>
      <c r="D26" t="inlineStr">
        <is>
          <t>Danilo Brunard Gomes Andrade</t>
        </is>
      </c>
      <c r="E26" s="6" t="inlineStr">
        <is>
          <t>Home Office</t>
        </is>
      </c>
      <c r="F26" s="6" t="inlineStr">
        <is>
          <t xml:space="preserve">Presencial </t>
        </is>
      </c>
      <c r="G26" s="6" t="inlineStr">
        <is>
          <t xml:space="preserve">Presencial </t>
        </is>
      </c>
      <c r="H26" s="6" t="inlineStr">
        <is>
          <t xml:space="preserve">Presencial </t>
        </is>
      </c>
      <c r="I26" s="6" t="inlineStr">
        <is>
          <t xml:space="preserve">Presencial </t>
        </is>
      </c>
    </row>
    <row r="27">
      <c r="A27" s="3" t="n">
        <v>6</v>
      </c>
      <c r="B27" s="3" t="n">
        <v>1687</v>
      </c>
      <c r="C27" s="3" t="inlineStr">
        <is>
          <t>SPIN</t>
        </is>
      </c>
      <c r="D27" s="2" t="inlineStr">
        <is>
          <t>Serafim Botolli</t>
        </is>
      </c>
      <c r="E27" s="3" t="inlineStr">
        <is>
          <t xml:space="preserve">Presencial </t>
        </is>
      </c>
      <c r="F27" s="3" t="inlineStr">
        <is>
          <t xml:space="preserve">Presencial </t>
        </is>
      </c>
      <c r="G27" s="3" t="inlineStr">
        <is>
          <t xml:space="preserve">Presencial </t>
        </is>
      </c>
      <c r="H27" s="3" t="inlineStr">
        <is>
          <t xml:space="preserve">Presencial </t>
        </is>
      </c>
      <c r="I27" s="3" t="inlineStr">
        <is>
          <t xml:space="preserve">Presencial </t>
        </is>
      </c>
    </row>
    <row r="28">
      <c r="A28" s="6" t="n">
        <v>6</v>
      </c>
      <c r="B28" s="6" t="n">
        <v>1687</v>
      </c>
      <c r="C28" s="6" t="inlineStr">
        <is>
          <t>SPIN</t>
        </is>
      </c>
      <c r="D28" t="inlineStr">
        <is>
          <t xml:space="preserve">Francisco Weliton Maciel Viana </t>
        </is>
      </c>
      <c r="E28" s="6" t="inlineStr">
        <is>
          <t xml:space="preserve">Presencial </t>
        </is>
      </c>
      <c r="F28" s="6" t="inlineStr">
        <is>
          <t>Home Office</t>
        </is>
      </c>
      <c r="G28" s="6" t="inlineStr">
        <is>
          <t xml:space="preserve">Presencial </t>
        </is>
      </c>
      <c r="H28" s="6" t="inlineStr">
        <is>
          <t>Home Office</t>
        </is>
      </c>
      <c r="I28" s="6" t="inlineStr">
        <is>
          <t xml:space="preserve">Presencial </t>
        </is>
      </c>
    </row>
    <row r="29">
      <c r="A29" s="3" t="n">
        <v>6</v>
      </c>
      <c r="B29" s="3" t="n">
        <v>1687</v>
      </c>
      <c r="C29" s="3" t="inlineStr">
        <is>
          <t>SPIN</t>
        </is>
      </c>
      <c r="D29" s="2" t="inlineStr">
        <is>
          <t>Dienifer de Araújo de Lima</t>
        </is>
      </c>
      <c r="E29" s="3" t="inlineStr">
        <is>
          <t xml:space="preserve">Presencial </t>
        </is>
      </c>
      <c r="F29" s="3" t="inlineStr">
        <is>
          <t xml:space="preserve">Presencial </t>
        </is>
      </c>
      <c r="G29" s="3" t="inlineStr">
        <is>
          <t xml:space="preserve">Presencial </t>
        </is>
      </c>
      <c r="H29" s="3" t="inlineStr">
        <is>
          <t xml:space="preserve">Presencial </t>
        </is>
      </c>
      <c r="I29" s="3" t="inlineStr">
        <is>
          <t xml:space="preserve">Presencial </t>
        </is>
      </c>
    </row>
    <row r="30">
      <c r="A30" s="6" t="n">
        <v>6</v>
      </c>
      <c r="B30" s="6" t="n">
        <v>1687</v>
      </c>
      <c r="C30" s="6" t="inlineStr">
        <is>
          <t>SPIN</t>
        </is>
      </c>
      <c r="D30" t="inlineStr">
        <is>
          <t>Fernanda Thalita Herculano dos Santos</t>
        </is>
      </c>
      <c r="E30" s="6" t="inlineStr">
        <is>
          <t xml:space="preserve">Presencial </t>
        </is>
      </c>
      <c r="F30" s="6" t="inlineStr">
        <is>
          <t xml:space="preserve">Presencial </t>
        </is>
      </c>
      <c r="G30" s="6" t="inlineStr">
        <is>
          <t xml:space="preserve">Presencial </t>
        </is>
      </c>
      <c r="H30" s="6" t="inlineStr">
        <is>
          <t xml:space="preserve">Presencial </t>
        </is>
      </c>
      <c r="I30" s="6" t="inlineStr">
        <is>
          <t xml:space="preserve">Presencial </t>
        </is>
      </c>
    </row>
    <row r="31">
      <c r="E31" s="8">
        <f>COUNTIF(E1:E30,$K$3)</f>
        <v/>
      </c>
      <c r="F31" s="8">
        <f>COUNTIF(F1:F30,$K$3)</f>
        <v/>
      </c>
      <c r="G31" s="8">
        <f>COUNTIF(G1:G30,$K$3)</f>
        <v/>
      </c>
      <c r="H31" s="8">
        <f>COUNTIF(H1:H30,$K$3)</f>
        <v/>
      </c>
      <c r="I31" s="8">
        <f>COUNTIF(I1:I30,$K$3)</f>
        <v/>
      </c>
    </row>
    <row r="32">
      <c r="A32" s="74" t="n"/>
    </row>
    <row r="33">
      <c r="A33" s="74" t="n"/>
    </row>
    <row r="34">
      <c r="A34" s="74" t="n"/>
    </row>
    <row r="35">
      <c r="A35" s="74" t="n"/>
    </row>
    <row r="36">
      <c r="A36" s="74" t="n"/>
      <c r="B36" s="74" t="n"/>
    </row>
    <row r="37">
      <c r="A37" s="74" t="n"/>
      <c r="B37" s="74" t="n"/>
    </row>
    <row r="38">
      <c r="A38" s="74" t="n"/>
      <c r="B38" s="74" t="n"/>
    </row>
    <row r="39">
      <c r="A39" s="74" t="n"/>
      <c r="B39" s="74" t="n"/>
    </row>
    <row r="40">
      <c r="A40" s="74" t="n"/>
      <c r="B40" s="74" t="n"/>
    </row>
    <row r="41">
      <c r="A41" s="74" t="n"/>
      <c r="B41" s="74" t="n"/>
    </row>
    <row r="42">
      <c r="A42" s="74" t="n"/>
      <c r="B42" s="74" t="n"/>
    </row>
    <row r="43">
      <c r="A43" s="74" t="n"/>
      <c r="B43" s="74" t="n"/>
    </row>
    <row r="44">
      <c r="A44" s="74" t="n"/>
      <c r="B44" s="74" t="n"/>
    </row>
    <row r="45">
      <c r="A45" s="74" t="n"/>
      <c r="B45" s="74" t="n"/>
    </row>
    <row r="46">
      <c r="A46" s="74" t="n"/>
      <c r="B46" s="74" t="n"/>
    </row>
    <row r="47">
      <c r="A47" s="74" t="n"/>
      <c r="B47" s="74" t="n"/>
    </row>
    <row r="48">
      <c r="A48" s="74" t="n"/>
      <c r="B48" s="74" t="n"/>
    </row>
    <row r="49">
      <c r="A49" s="74" t="n"/>
      <c r="B49" s="74" t="n"/>
    </row>
    <row r="50">
      <c r="A50" s="74" t="n"/>
      <c r="B50" s="74" t="n"/>
    </row>
    <row r="51">
      <c r="A51" s="74" t="n"/>
      <c r="B51" s="74" t="n"/>
    </row>
    <row r="52">
      <c r="A52" s="74" t="n"/>
      <c r="B52" s="74" t="n"/>
    </row>
    <row r="53">
      <c r="A53" s="74" t="n"/>
      <c r="B53" s="74" t="n"/>
    </row>
    <row r="54">
      <c r="A54" s="74" t="n"/>
      <c r="B54" s="74" t="n"/>
    </row>
    <row r="55">
      <c r="A55" s="74" t="n"/>
      <c r="B55" s="74" t="n"/>
    </row>
    <row r="56">
      <c r="B56" s="74" t="n"/>
    </row>
    <row r="57">
      <c r="B57" s="74" t="n"/>
    </row>
    <row r="58">
      <c r="B58" s="74" t="n"/>
    </row>
    <row r="59">
      <c r="B59" s="74" t="n"/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tabSelected="1" workbookViewId="0">
      <pane ySplit="1" topLeftCell="A14" activePane="bottomLeft" state="frozen"/>
      <selection pane="bottomLeft" activeCell="C29" sqref="C29"/>
    </sheetView>
  </sheetViews>
  <sheetFormatPr baseColWidth="8" defaultRowHeight="14.25"/>
  <cols>
    <col width="13.3984375" bestFit="1" customWidth="1" style="7" min="1" max="1"/>
    <col width="32.73046875" bestFit="1" customWidth="1" style="7" min="2" max="2"/>
    <col width="39.86328125" bestFit="1" customWidth="1" style="7" min="3" max="3"/>
    <col width="18.3984375" bestFit="1" customWidth="1" style="7" min="4" max="4"/>
    <col width="10.73046875" bestFit="1" customWidth="1" style="7" min="5" max="5"/>
    <col width="13.73046875" bestFit="1" customWidth="1" style="7" min="6" max="6"/>
  </cols>
  <sheetData>
    <row r="1">
      <c r="A1" s="47" t="inlineStr">
        <is>
          <t>Cadastro</t>
        </is>
      </c>
      <c r="B1" s="47" t="inlineStr">
        <is>
          <t>Nome</t>
        </is>
      </c>
      <c r="C1" s="47" t="inlineStr">
        <is>
          <t xml:space="preserve">Endereço </t>
        </is>
      </c>
      <c r="D1" s="47" t="inlineStr">
        <is>
          <t xml:space="preserve">Bairo </t>
        </is>
      </c>
      <c r="E1" s="47" t="inlineStr">
        <is>
          <t>CEP</t>
        </is>
      </c>
      <c r="F1" s="47" t="inlineStr">
        <is>
          <t>Telefone</t>
        </is>
      </c>
    </row>
    <row r="2">
      <c r="A2" s="48" t="n">
        <v>945842</v>
      </c>
      <c r="B2" s="49" t="inlineStr">
        <is>
          <t>Alexandre dos Santos Paiva</t>
        </is>
      </c>
      <c r="C2" s="49" t="inlineStr">
        <is>
          <t xml:space="preserve">Av. Copacabana, Nº 587 </t>
        </is>
      </c>
      <c r="D2" s="49" t="inlineStr">
        <is>
          <t>Nossa Sra da Saudade</t>
        </is>
      </c>
      <c r="E2" s="49" t="inlineStr">
        <is>
          <t>75.520-210</t>
        </is>
      </c>
      <c r="F2" s="49" t="inlineStr">
        <is>
          <t>64 99307-5915</t>
        </is>
      </c>
      <c r="G2" t="inlineStr">
        <is>
          <t>-18.39651970801145</t>
        </is>
      </c>
      <c r="H2" t="inlineStr">
        <is>
          <t>-49.197997910872516</t>
        </is>
      </c>
    </row>
    <row r="3">
      <c r="A3" s="48" t="n">
        <v>900415</v>
      </c>
      <c r="B3" s="49" t="inlineStr">
        <is>
          <t>Armando Donizetti Miranda</t>
        </is>
      </c>
      <c r="C3" s="49" t="inlineStr">
        <is>
          <t>Rua Maracanã, Nº 108</t>
        </is>
      </c>
      <c r="D3" s="49" t="inlineStr">
        <is>
          <t>Paranaiba</t>
        </is>
      </c>
      <c r="E3" s="49" t="inlineStr">
        <is>
          <t>75.526-395</t>
        </is>
      </c>
      <c r="F3" s="49" t="inlineStr">
        <is>
          <t>64 98423-7179</t>
        </is>
      </c>
      <c r="G3" t="inlineStr">
        <is>
          <t>-18.421420416422755</t>
        </is>
      </c>
      <c r="H3" t="inlineStr">
        <is>
          <t>-49.2317830864684</t>
        </is>
      </c>
    </row>
    <row r="4">
      <c r="A4" s="50" t="n">
        <v>935562</v>
      </c>
      <c r="B4" s="51" t="inlineStr">
        <is>
          <t>Carlos Henrique Apolinario Silva</t>
        </is>
      </c>
      <c r="C4" s="51" t="inlineStr">
        <is>
          <t>Rua Jamaica, Nº 82</t>
        </is>
      </c>
      <c r="D4" s="51" t="inlineStr">
        <is>
          <t>Prefeito José Moisés</t>
        </is>
      </c>
      <c r="E4" s="51" t="inlineStr">
        <is>
          <t>75.535-367</t>
        </is>
      </c>
      <c r="F4" s="51" t="inlineStr">
        <is>
          <t>64 99200-3472</t>
        </is>
      </c>
      <c r="G4" t="inlineStr">
        <is>
          <t>-18.416242069116226</t>
        </is>
      </c>
      <c r="H4" t="inlineStr">
        <is>
          <t>-49.27442271469548</t>
        </is>
      </c>
    </row>
    <row r="5">
      <c r="A5" s="50" t="n">
        <v>918080</v>
      </c>
      <c r="B5" s="51" t="inlineStr">
        <is>
          <t>Cristiane Gomes Apolinario Goncalves</t>
        </is>
      </c>
      <c r="C5" s="51" t="inlineStr">
        <is>
          <t>Rua Jamaica, Nº 82</t>
        </is>
      </c>
      <c r="D5" s="51" t="inlineStr">
        <is>
          <t>Prefeito José Moisés</t>
        </is>
      </c>
      <c r="E5" s="51" t="inlineStr">
        <is>
          <t>75.535-367</t>
        </is>
      </c>
      <c r="F5" s="51" t="inlineStr">
        <is>
          <t>64 99200-3472</t>
        </is>
      </c>
      <c r="G5" t="inlineStr">
        <is>
          <t>-18.416011960064992</t>
        </is>
      </c>
      <c r="H5" t="inlineStr">
        <is>
          <t>-49.27436255824635</t>
        </is>
      </c>
    </row>
    <row r="6">
      <c r="A6" s="50" t="n">
        <v>929607</v>
      </c>
      <c r="B6" s="51" t="inlineStr">
        <is>
          <t>Cristiano Ribeiro</t>
        </is>
      </c>
      <c r="C6" s="51" t="inlineStr">
        <is>
          <t>Avenida Porto Seguro, Nº 1122</t>
        </is>
      </c>
      <c r="D6" s="51" t="inlineStr">
        <is>
          <t>Afonso Pena</t>
        </is>
      </c>
      <c r="E6" s="51" t="inlineStr">
        <is>
          <t>75.513-456</t>
        </is>
      </c>
      <c r="F6" s="51" t="inlineStr">
        <is>
          <t>64 99272-4077</t>
        </is>
      </c>
      <c r="G6" t="inlineStr">
        <is>
          <t>-18.400622308153114</t>
        </is>
      </c>
      <c r="H6" t="inlineStr">
        <is>
          <t>-49.21975979578393</t>
        </is>
      </c>
    </row>
    <row r="7">
      <c r="A7" s="50" t="n">
        <v>918618</v>
      </c>
      <c r="B7" s="51" t="inlineStr">
        <is>
          <t>Danilo Brunard Borges Andrade</t>
        </is>
      </c>
      <c r="C7" s="51" t="inlineStr">
        <is>
          <t>Rua José Luiz Alves, Nº 177</t>
        </is>
      </c>
      <c r="D7" s="51" t="inlineStr">
        <is>
          <t>Jardim Primavera</t>
        </is>
      </c>
      <c r="E7" s="51" t="inlineStr">
        <is>
          <t>75.524-525</t>
        </is>
      </c>
      <c r="F7" s="51" t="inlineStr">
        <is>
          <t>64 99231-6068</t>
        </is>
      </c>
      <c r="G7" t="inlineStr">
        <is>
          <t>-18.430003605071235</t>
        </is>
      </c>
      <c r="H7" t="inlineStr">
        <is>
          <t>-49.217063015662475</t>
        </is>
      </c>
    </row>
    <row r="8">
      <c r="A8" s="50" t="n">
        <v>944674</v>
      </c>
      <c r="B8" s="51" t="inlineStr">
        <is>
          <t>Djalma Jose dos Santos Netto</t>
        </is>
      </c>
      <c r="C8" s="51" t="inlineStr">
        <is>
          <t>Rua Araguari,Nº 3048</t>
        </is>
      </c>
      <c r="D8" s="51" t="inlineStr">
        <is>
          <t>Buriti I</t>
        </is>
      </c>
      <c r="E8" s="51" t="inlineStr">
        <is>
          <t xml:space="preserve">75.516-250 </t>
        </is>
      </c>
      <c r="F8" s="51" t="inlineStr">
        <is>
          <t>64 99284-2673</t>
        </is>
      </c>
      <c r="G8" t="inlineStr">
        <is>
          <t>-18.39689570160869</t>
        </is>
      </c>
      <c r="H8" t="inlineStr">
        <is>
          <t>-49.21238260485994</t>
        </is>
      </c>
    </row>
    <row r="9">
      <c r="A9" s="50" t="n">
        <v>938713</v>
      </c>
      <c r="B9" s="51" t="inlineStr">
        <is>
          <t>Emilly Samara Muniz Bezerra</t>
        </is>
      </c>
      <c r="C9" s="51" t="inlineStr">
        <is>
          <t>Rua José Gomes Pereira, Nº 461</t>
        </is>
      </c>
      <c r="D9" s="51" t="inlineStr">
        <is>
          <t>Santos Dumont</t>
        </is>
      </c>
      <c r="E9" s="51" t="inlineStr">
        <is>
          <t>75.530-330</t>
        </is>
      </c>
      <c r="F9" s="51" t="inlineStr">
        <is>
          <t>64 99265-6575</t>
        </is>
      </c>
      <c r="G9" t="inlineStr">
        <is>
          <t>-18.414600242596304</t>
        </is>
      </c>
      <c r="H9" t="inlineStr">
        <is>
          <t>-49.22812316565946</t>
        </is>
      </c>
    </row>
    <row r="10">
      <c r="A10" s="50" t="n">
        <v>922145</v>
      </c>
      <c r="B10" s="51" t="inlineStr">
        <is>
          <t>Enilton Aparecido Horacio</t>
        </is>
      </c>
      <c r="C10" s="51" t="inlineStr">
        <is>
          <t>Rua K, Nº 96</t>
        </is>
      </c>
      <c r="D10" s="51" t="inlineStr">
        <is>
          <t>Vila São Sebastião</t>
        </is>
      </c>
      <c r="E10" s="51" t="inlineStr">
        <is>
          <t>75.515-090</t>
        </is>
      </c>
      <c r="F10" s="50" t="inlineStr">
        <is>
          <t>-</t>
        </is>
      </c>
      <c r="G10" t="inlineStr">
        <is>
          <t>-18.394378741945868</t>
        </is>
      </c>
      <c r="H10" t="inlineStr">
        <is>
          <t>-49.21612834047962</t>
        </is>
      </c>
    </row>
    <row r="11">
      <c r="A11" s="50" t="n">
        <v>935888</v>
      </c>
      <c r="B11" s="51" t="inlineStr">
        <is>
          <t>Eris Rodrigues Arantes</t>
        </is>
      </c>
      <c r="C11" s="51" t="inlineStr">
        <is>
          <t>Rua da Saudade, Nº 485</t>
        </is>
      </c>
      <c r="D11" s="51" t="inlineStr">
        <is>
          <t>Social</t>
        </is>
      </c>
      <c r="E11" s="51" t="inlineStr">
        <is>
          <t>75.503-426</t>
        </is>
      </c>
      <c r="F11" s="51" t="inlineStr">
        <is>
          <t>64 99304-7945</t>
        </is>
      </c>
      <c r="G11" t="inlineStr">
        <is>
          <t>-18.41272269711913</t>
        </is>
      </c>
      <c r="H11" t="inlineStr">
        <is>
          <t>-49.218005462014496</t>
        </is>
      </c>
    </row>
    <row r="12">
      <c r="A12" s="50" t="n">
        <v>935884</v>
      </c>
      <c r="B12" s="51" t="inlineStr">
        <is>
          <t>Fernando Fonseca Cavalcante</t>
        </is>
      </c>
      <c r="C12" s="51" t="inlineStr">
        <is>
          <t>Av. Orosindo Domingos da Costa, Nº 197</t>
        </is>
      </c>
      <c r="D12" s="51" t="inlineStr">
        <is>
          <t>Dona Marolina</t>
        </is>
      </c>
      <c r="E12" s="51" t="inlineStr">
        <is>
          <t>75.535-060</t>
        </is>
      </c>
      <c r="F12" s="51" t="inlineStr">
        <is>
          <t>64 99288-0407</t>
        </is>
      </c>
      <c r="G12" t="inlineStr">
        <is>
          <t>-18.408218280155936</t>
        </is>
      </c>
      <c r="H12" t="inlineStr">
        <is>
          <t>-49.27246588535096</t>
        </is>
      </c>
    </row>
    <row r="13">
      <c r="A13" s="50" t="n">
        <v>944328</v>
      </c>
      <c r="B13" s="51" t="inlineStr">
        <is>
          <t>Francisco Weliton Maciel Viana</t>
        </is>
      </c>
      <c r="C13" s="51" t="inlineStr">
        <is>
          <t xml:space="preserve">Rua das Amoras, Nº 179 </t>
        </is>
      </c>
      <c r="D13" s="51" t="inlineStr">
        <is>
          <t>Beira Rio II</t>
        </is>
      </c>
      <c r="E13" s="51" t="inlineStr">
        <is>
          <t>75.523-596</t>
        </is>
      </c>
      <c r="F13" s="51" t="inlineStr">
        <is>
          <t>64 98126-3921</t>
        </is>
      </c>
      <c r="G13" t="inlineStr">
        <is>
          <t>-18.43766213448503</t>
        </is>
      </c>
      <c r="H13" t="inlineStr">
        <is>
          <t>-49.208826721311986</t>
        </is>
      </c>
    </row>
    <row r="14">
      <c r="A14" s="48" t="n">
        <v>926730</v>
      </c>
      <c r="B14" s="49" t="inlineStr">
        <is>
          <t>Gessimon Aprigio Alves</t>
        </is>
      </c>
      <c r="C14" s="49" t="inlineStr">
        <is>
          <t>Rua Miguel Couto, Nº 1282</t>
        </is>
      </c>
      <c r="D14" s="49" t="inlineStr">
        <is>
          <t>Planalto</t>
        </is>
      </c>
      <c r="E14" s="49" t="inlineStr">
        <is>
          <t>75.530-400</t>
        </is>
      </c>
      <c r="F14" s="49" t="inlineStr">
        <is>
          <t>64 98427-8872</t>
        </is>
      </c>
      <c r="G14" t="inlineStr">
        <is>
          <t>-18.408447713395432</t>
        </is>
      </c>
      <c r="H14" t="inlineStr">
        <is>
          <t>-49.231616812417975</t>
        </is>
      </c>
    </row>
    <row r="15">
      <c r="A15" s="50" t="n">
        <v>910198</v>
      </c>
      <c r="B15" s="51" t="inlineStr">
        <is>
          <t>Leandro Cantalogo</t>
        </is>
      </c>
      <c r="C15" s="51" t="inlineStr">
        <is>
          <t>Avenida João Batista Cintra, Nº 140</t>
        </is>
      </c>
      <c r="D15" s="51" t="inlineStr">
        <is>
          <t>Jardim América</t>
        </is>
      </c>
      <c r="E15" s="51" t="inlineStr">
        <is>
          <t>75.523-440</t>
        </is>
      </c>
      <c r="F15" s="51" t="inlineStr">
        <is>
          <t>64 99600-7741</t>
        </is>
      </c>
      <c r="G15" t="inlineStr">
        <is>
          <t>-18.40638584653196</t>
        </is>
      </c>
      <c r="H15" t="inlineStr">
        <is>
          <t>-49.206059917842666</t>
        </is>
      </c>
    </row>
    <row r="16">
      <c r="A16" s="50" t="n">
        <v>921466</v>
      </c>
      <c r="B16" s="51" t="inlineStr">
        <is>
          <t>Luchiana Fernandes Silva Esteller</t>
        </is>
      </c>
      <c r="C16" s="51" t="inlineStr">
        <is>
          <t>Rua Dr. José Honorato Neto, Nº 17</t>
        </is>
      </c>
      <c r="D16" s="51" t="inlineStr">
        <is>
          <t>Paranaiba</t>
        </is>
      </c>
      <c r="E16" s="51" t="inlineStr">
        <is>
          <t>75.526-245</t>
        </is>
      </c>
      <c r="F16" s="51" t="inlineStr">
        <is>
          <t>64 99263-9728</t>
        </is>
      </c>
      <c r="G16" t="inlineStr">
        <is>
          <t>-18.42496379149688</t>
        </is>
      </c>
      <c r="H16" t="inlineStr">
        <is>
          <t>-49.235498190425076</t>
        </is>
      </c>
    </row>
    <row r="17">
      <c r="A17" s="50" t="n">
        <v>943914</v>
      </c>
      <c r="B17" s="51" t="inlineStr">
        <is>
          <t>Marcos Dias Moreira Junior</t>
        </is>
      </c>
      <c r="C17" s="51" t="inlineStr">
        <is>
          <t>Rua Dr. José Camilo Filho, Nº 374</t>
        </is>
      </c>
      <c r="D17" s="51" t="inlineStr">
        <is>
          <t>Santa Rita</t>
        </is>
      </c>
      <c r="E17" s="51" t="inlineStr">
        <is>
          <t>75.514-140</t>
        </is>
      </c>
      <c r="F17" s="51" t="inlineStr">
        <is>
          <t>31 98467-4796</t>
        </is>
      </c>
      <c r="G17" t="inlineStr">
        <is>
          <t>-18.378969163524125</t>
        </is>
      </c>
      <c r="H17" t="inlineStr">
        <is>
          <t>-49.21420961835433</t>
        </is>
      </c>
    </row>
    <row r="18">
      <c r="A18" s="50" t="n">
        <v>945587</v>
      </c>
      <c r="B18" s="51" t="inlineStr">
        <is>
          <t>Marcos Thullio Soares Batista</t>
        </is>
      </c>
      <c r="C18" s="51" t="inlineStr">
        <is>
          <t>Rua 30, Q. 12, L. 0, N. 162, CASA - 2</t>
        </is>
      </c>
      <c r="D18" s="51" t="inlineStr">
        <is>
          <t xml:space="preserve">Bairro Santa Inês </t>
        </is>
      </c>
      <c r="E18" s="51" t="inlineStr">
        <is>
          <t>75.526-012</t>
        </is>
      </c>
      <c r="F18" s="51" t="inlineStr">
        <is>
          <t>16 99716-5078</t>
        </is>
      </c>
      <c r="G18" t="inlineStr">
        <is>
          <t>-18.426826618148056</t>
        </is>
      </c>
      <c r="H18" t="inlineStr">
        <is>
          <t>-49.22659992212694</t>
        </is>
      </c>
    </row>
    <row r="19">
      <c r="A19" s="50" t="n">
        <v>934727</v>
      </c>
      <c r="B19" s="51" t="inlineStr">
        <is>
          <t>Pablo Soeiro Arouche</t>
        </is>
      </c>
      <c r="C19" s="51" t="inlineStr">
        <is>
          <t>Rua Ranulfo Carneiro Guimarães, Nº 139</t>
        </is>
      </c>
      <c r="D19" s="51" t="inlineStr">
        <is>
          <t>Centro</t>
        </is>
      </c>
      <c r="E19" s="51" t="inlineStr">
        <is>
          <t>75.503-080</t>
        </is>
      </c>
      <c r="F19" s="51" t="inlineStr">
        <is>
          <t>62 98305-6197</t>
        </is>
      </c>
      <c r="G19" t="inlineStr">
        <is>
          <t>-18.423099933702094</t>
        </is>
      </c>
      <c r="H19" t="inlineStr">
        <is>
          <t>-49.21572457523348</t>
        </is>
      </c>
    </row>
    <row r="20">
      <c r="A20" s="48" t="n">
        <v>925443</v>
      </c>
      <c r="B20" s="49" t="inlineStr">
        <is>
          <t>Paulo Sergio da Silva</t>
        </is>
      </c>
      <c r="C20" s="49" t="inlineStr">
        <is>
          <t>Rua 112, Nº 29</t>
        </is>
      </c>
      <c r="D20" s="49" t="inlineStr">
        <is>
          <t>Jardim Leonora</t>
        </is>
      </c>
      <c r="E20" s="49" t="inlineStr">
        <is>
          <t>75.534-140</t>
        </is>
      </c>
      <c r="F20" s="49" t="inlineStr">
        <is>
          <t>64 98439-6700</t>
        </is>
      </c>
      <c r="G20" t="inlineStr">
        <is>
          <t>-18.424178929106525</t>
        </is>
      </c>
      <c r="H20" t="inlineStr">
        <is>
          <t>-49.241266820719495</t>
        </is>
      </c>
    </row>
    <row r="21">
      <c r="A21" s="50" t="n">
        <v>945575</v>
      </c>
      <c r="B21" s="51" t="inlineStr">
        <is>
          <t>Raphael Lemes Vieira</t>
        </is>
      </c>
      <c r="C21" s="51" t="inlineStr">
        <is>
          <t>Avenida Presidente Dutra, Nº 509</t>
        </is>
      </c>
      <c r="D21" s="51" t="inlineStr">
        <is>
          <t>Setor Afonso Pena</t>
        </is>
      </c>
      <c r="E21" s="51" t="inlineStr">
        <is>
          <t>75.513-410</t>
        </is>
      </c>
      <c r="F21" s="51" t="inlineStr">
        <is>
          <t>64 99234-8984</t>
        </is>
      </c>
      <c r="G21" t="inlineStr">
        <is>
          <t>-18.40222402803873</t>
        </is>
      </c>
      <c r="H21" t="inlineStr">
        <is>
          <t>-49.21598800362705</t>
        </is>
      </c>
    </row>
    <row r="22">
      <c r="A22" s="50" t="n">
        <v>941162</v>
      </c>
      <c r="B22" s="51" t="inlineStr">
        <is>
          <t>Rosimar Carioca Lopes</t>
        </is>
      </c>
      <c r="C22" s="51" t="inlineStr">
        <is>
          <t>Rua 11, Nº 235</t>
        </is>
      </c>
      <c r="D22" s="51" t="inlineStr">
        <is>
          <t>Santos Dumont</t>
        </is>
      </c>
      <c r="E22" s="51" t="inlineStr">
        <is>
          <t>75.530-420</t>
        </is>
      </c>
      <c r="F22" s="51" t="inlineStr">
        <is>
          <t>64  984085528</t>
        </is>
      </c>
      <c r="G22" t="inlineStr">
        <is>
          <t>-18.415487598528888</t>
        </is>
      </c>
      <c r="H22" t="inlineStr">
        <is>
          <t>-49.22480362049998</t>
        </is>
      </c>
    </row>
    <row r="23">
      <c r="A23" s="48" t="n">
        <v>942101</v>
      </c>
      <c r="B23" s="49" t="inlineStr">
        <is>
          <t>Thaline Campanate Silva</t>
        </is>
      </c>
      <c r="C23" s="49" t="inlineStr">
        <is>
          <t>Rua 32, Nº 166c</t>
        </is>
      </c>
      <c r="D23" s="49" t="inlineStr">
        <is>
          <t>Santa Inês</t>
        </is>
      </c>
      <c r="E23" s="49" t="inlineStr">
        <is>
          <t>75.526-436</t>
        </is>
      </c>
      <c r="F23" s="49" t="inlineStr">
        <is>
          <t>64 99204-0530</t>
        </is>
      </c>
      <c r="G23" t="inlineStr">
        <is>
          <t>-18.426969880275376</t>
        </is>
      </c>
      <c r="H23" t="inlineStr">
        <is>
          <t>-49.224749220069526</t>
        </is>
      </c>
    </row>
    <row r="24">
      <c r="A24" s="50" t="n">
        <v>943037</v>
      </c>
      <c r="B24" s="51" t="inlineStr">
        <is>
          <t>Thiago Aparecido Cavalcante Damasio</t>
        </is>
      </c>
      <c r="C24" s="51" t="inlineStr">
        <is>
          <t>Av. Ivani Domingos Borges, Nº 715</t>
        </is>
      </c>
      <c r="D24" s="51" t="inlineStr">
        <is>
          <t>Dona Marolina</t>
        </is>
      </c>
      <c r="E24" s="51" t="inlineStr">
        <is>
          <t>75.535-050</t>
        </is>
      </c>
      <c r="F24" s="51" t="inlineStr">
        <is>
          <t>64 99246-0451</t>
        </is>
      </c>
      <c r="G24" t="inlineStr">
        <is>
          <t>-18.410652647554766</t>
        </is>
      </c>
      <c r="H24" t="inlineStr">
        <is>
          <t>-49.26500202531303</t>
        </is>
      </c>
    </row>
    <row r="25">
      <c r="A25" s="50" t="n">
        <v>943698</v>
      </c>
      <c r="B25" s="51" t="inlineStr">
        <is>
          <t>Valdeci Moura da Silva</t>
        </is>
      </c>
      <c r="C25" s="51" t="inlineStr">
        <is>
          <t>Avenida Mauro Borges, Nº 1023</t>
        </is>
      </c>
      <c r="D25" s="51" t="inlineStr">
        <is>
          <t>Buriti I</t>
        </is>
      </c>
      <c r="E25" s="51" t="inlineStr">
        <is>
          <t>75.516-240</t>
        </is>
      </c>
      <c r="F25" s="51" t="inlineStr">
        <is>
          <t>64 99266-7280</t>
        </is>
      </c>
      <c r="G25" t="inlineStr">
        <is>
          <t>-18.38528456964188</t>
        </is>
      </c>
      <c r="H25" t="inlineStr">
        <is>
          <t>-49.21060259056928</t>
        </is>
      </c>
    </row>
    <row r="26">
      <c r="A26" s="50" t="n">
        <v>943650</v>
      </c>
      <c r="B26" s="51" t="inlineStr">
        <is>
          <t>Wellyskley Martins de Oliveira</t>
        </is>
      </c>
      <c r="C26" s="51" t="inlineStr">
        <is>
          <t>Av. 9 de Julho, Nº 2665</t>
        </is>
      </c>
      <c r="D26" s="51" t="inlineStr">
        <is>
          <t>Jardim Flamboyant</t>
        </is>
      </c>
      <c r="E26" s="51" t="inlineStr">
        <is>
          <t>75.514-080</t>
        </is>
      </c>
      <c r="F26" s="51" t="inlineStr">
        <is>
          <t>64 99251-8215</t>
        </is>
      </c>
      <c r="G26" t="inlineStr">
        <is>
          <t>-18.393119804001806</t>
        </is>
      </c>
      <c r="H26" t="inlineStr">
        <is>
          <t>-49.20859567299694</t>
        </is>
      </c>
    </row>
    <row r="27">
      <c r="B27" s="51" t="inlineStr">
        <is>
          <t>Hyago Inacio Sandoval</t>
        </is>
      </c>
      <c r="C27" s="51" t="inlineStr">
        <is>
          <t xml:space="preserve">R. Geraldo Gomes Junior, N° 117 </t>
        </is>
      </c>
      <c r="D27" t="inlineStr">
        <is>
          <t>Jardim Liberdade</t>
        </is>
      </c>
      <c r="E27" t="inlineStr">
        <is>
          <t>75528-153</t>
        </is>
      </c>
      <c r="F27" s="51" t="inlineStr">
        <is>
          <t>64 98137-2222</t>
        </is>
      </c>
      <c r="G27" t="inlineStr">
        <is>
          <t>-18.404146301089003</t>
        </is>
      </c>
      <c r="H27" t="inlineStr">
        <is>
          <t>-49.24287229252426</t>
        </is>
      </c>
    </row>
    <row r="28">
      <c r="B28" s="51" t="inlineStr">
        <is>
          <t>Grazielle Batista da Silva Dafico Ramos</t>
        </is>
      </c>
      <c r="C28" s="51" t="inlineStr">
        <is>
          <t>Rua Ana Estér de S Jota, n°74</t>
        </is>
      </c>
      <c r="D28" s="51" t="inlineStr">
        <is>
          <t>Jardim Primavera</t>
        </is>
      </c>
      <c r="E28" s="51" t="inlineStr">
        <is>
          <t>75.524-530</t>
        </is>
      </c>
      <c r="F28" s="51" t="inlineStr">
        <is>
          <t>62 98214-1634</t>
        </is>
      </c>
      <c r="G28" t="inlineStr">
        <is>
          <t>-18.432173526598064</t>
        </is>
      </c>
      <c r="H28" t="inlineStr">
        <is>
          <t>-49.21649831922791</t>
        </is>
      </c>
    </row>
    <row r="29">
      <c r="B29" s="51" t="inlineStr">
        <is>
          <t>Luana Patrycia Gomes Oliveira</t>
        </is>
      </c>
      <c r="C29" s="51" t="inlineStr">
        <is>
          <t>Rua Bernardo Sayao, N° 184</t>
        </is>
      </c>
      <c r="D29" s="51" t="inlineStr">
        <is>
          <t>Centro</t>
        </is>
      </c>
      <c r="E29" s="51" t="inlineStr">
        <is>
          <t>75.510-260</t>
        </is>
      </c>
      <c r="F29" s="51" t="inlineStr">
        <is>
          <t>64 99286-3319</t>
        </is>
      </c>
      <c r="G29" t="inlineStr">
        <is>
          <t>-18.41192797366594</t>
        </is>
      </c>
      <c r="H29" t="inlineStr">
        <is>
          <t>-49.21656657070177</t>
        </is>
      </c>
    </row>
    <row r="30">
      <c r="B30" s="51" t="inlineStr">
        <is>
          <t>Mikaella Ribeiro Molina</t>
        </is>
      </c>
      <c r="C30" s="51" t="inlineStr">
        <is>
          <t>Rua 105, N° 219</t>
        </is>
      </c>
      <c r="D30" s="51" t="inlineStr">
        <is>
          <t>Jardim Leonora II</t>
        </is>
      </c>
      <c r="E30" s="51" t="inlineStr">
        <is>
          <t>75.534-333</t>
        </is>
      </c>
      <c r="F30" s="51" t="inlineStr">
        <is>
          <t>64 99237-9738</t>
        </is>
      </c>
      <c r="G30" t="inlineStr">
        <is>
          <t>-18.422867739570577</t>
        </is>
      </c>
      <c r="H30" t="inlineStr">
        <is>
          <t>-49.24333547153385</t>
        </is>
      </c>
    </row>
    <row r="31">
      <c r="B31" s="51" t="inlineStr">
        <is>
          <t>Grazielle Btista da Silva Dafico Ramos</t>
        </is>
      </c>
      <c r="C31" s="51" t="inlineStr">
        <is>
          <t>Rua Ana Estér de S Jota, n°74</t>
        </is>
      </c>
      <c r="D31" s="51" t="inlineStr">
        <is>
          <t>Jardim Primavera</t>
        </is>
      </c>
      <c r="E31" s="51" t="inlineStr">
        <is>
          <t>75.524-530</t>
        </is>
      </c>
      <c r="F31" s="51" t="inlineStr">
        <is>
          <t>62 98214-1634</t>
        </is>
      </c>
      <c r="G31" t="inlineStr">
        <is>
          <t>-18.4308187104198</t>
        </is>
      </c>
      <c r="H31" t="inlineStr">
        <is>
          <t>-49.216809289244246</t>
        </is>
      </c>
    </row>
    <row r="32">
      <c r="B32" s="51" t="inlineStr">
        <is>
          <t>Evandro Martins Ferreira</t>
        </is>
      </c>
      <c r="C32" s="51" t="inlineStr">
        <is>
          <t>Rua Marechal Deodoro, N° 397</t>
        </is>
      </c>
      <c r="D32" s="51" t="inlineStr">
        <is>
          <t>Centro</t>
        </is>
      </c>
      <c r="E32" s="51" t="inlineStr">
        <is>
          <t>75.503-210</t>
        </is>
      </c>
      <c r="F32" s="51" t="inlineStr">
        <is>
          <t>64 9999-5660</t>
        </is>
      </c>
      <c r="G32" t="inlineStr">
        <is>
          <t>-18.417045561657343</t>
        </is>
      </c>
      <c r="H32" t="inlineStr">
        <is>
          <t>-49.220856886291514</t>
        </is>
      </c>
    </row>
    <row r="33">
      <c r="B33" s="51" t="inlineStr">
        <is>
          <t>Raiane Kezia</t>
        </is>
      </c>
      <c r="C33" s="51" t="inlineStr">
        <is>
          <t>Rua Astecas, N° 734</t>
        </is>
      </c>
      <c r="D33" s="51" t="inlineStr">
        <is>
          <t>Jardim Liberdade</t>
        </is>
      </c>
      <c r="E33" s="51" t="inlineStr">
        <is>
          <t xml:space="preserve"> 75.513-520</t>
        </is>
      </c>
      <c r="F33" s="51" t="inlineStr">
        <is>
          <t>64 99324-8939</t>
        </is>
      </c>
      <c r="G33" t="inlineStr">
        <is>
          <t>-18.40306479197539</t>
        </is>
      </c>
      <c r="H33" t="inlineStr">
        <is>
          <t>-49.21985746510261</t>
        </is>
      </c>
    </row>
    <row r="34">
      <c r="B34" s="51" t="inlineStr">
        <is>
          <t>Jessika Lorranne Silva Bezerra</t>
        </is>
      </c>
      <c r="C34" s="51" t="inlineStr">
        <is>
          <t>Rua Sebastião Inacio de Sousa Nº 889</t>
        </is>
      </c>
      <c r="D34" s="51" t="inlineStr">
        <is>
          <t>Nossa Sra da Saude</t>
        </is>
      </c>
      <c r="E34" s="51" t="inlineStr">
        <is>
          <t>75.520-090</t>
        </is>
      </c>
      <c r="F34" s="51" t="inlineStr">
        <is>
          <t>64 99201-4066</t>
        </is>
      </c>
      <c r="G34" t="inlineStr">
        <is>
          <t>-18.390932153882023</t>
        </is>
      </c>
      <c r="H34" t="inlineStr">
        <is>
          <t>-49.200576690191276</t>
        </is>
      </c>
    </row>
    <row r="35">
      <c r="B35" s="51" t="inlineStr">
        <is>
          <t>Ed Carlos Alfredo</t>
        </is>
      </c>
      <c r="C35" s="51" t="inlineStr">
        <is>
          <t>Rua Doutor Jose Camilo Filho</t>
        </is>
      </c>
      <c r="D35" s="51" t="inlineStr">
        <is>
          <t>Jardim Europa</t>
        </is>
      </c>
      <c r="E35" s="51" t="inlineStr">
        <is>
          <t>75514-140</t>
        </is>
      </c>
      <c r="F35" s="51" t="inlineStr">
        <is>
          <t>64 99297-8715</t>
        </is>
      </c>
      <c r="G35" t="inlineStr">
        <is>
          <t>-18.37893736807591</t>
        </is>
      </c>
      <c r="H35" t="inlineStr">
        <is>
          <t>-49.21423266310902</t>
        </is>
      </c>
    </row>
    <row r="36">
      <c r="B36" s="51" t="inlineStr">
        <is>
          <t>Andressa Vanin</t>
        </is>
      </c>
      <c r="C36" s="51" t="inlineStr">
        <is>
          <t>Rua Iraides Rodrigues da Silva</t>
        </is>
      </c>
      <c r="D36" s="51" t="inlineStr">
        <is>
          <t>Jardim Flamboyant</t>
        </is>
      </c>
      <c r="F36" s="51" t="inlineStr">
        <is>
          <t>64 99289-9736</t>
        </is>
      </c>
      <c r="G36" t="inlineStr">
        <is>
          <t>-18.388358425785132</t>
        </is>
      </c>
      <c r="H36" t="inlineStr">
        <is>
          <t>-49.213702522758524</t>
        </is>
      </c>
    </row>
  </sheetData>
  <autoFilter ref="A1:F36">
    <sortState ref="A2:F32">
      <sortCondition ref="B1:B32"/>
    </sortState>
  </autoFilter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showGridLines="0" workbookViewId="0">
      <selection activeCell="F34" sqref="F34"/>
    </sheetView>
  </sheetViews>
  <sheetFormatPr baseColWidth="8" defaultRowHeight="14.25"/>
  <cols>
    <col width="3.3984375" bestFit="1" customWidth="1" style="39" min="1" max="1"/>
    <col width="18.73046875" bestFit="1" customWidth="1" style="39" min="2" max="2"/>
    <col width="72.265625" customWidth="1" style="44" min="3" max="3"/>
    <col width="11.1328125" customWidth="1" style="45" min="4" max="4"/>
    <col width="9" bestFit="1" customWidth="1" style="45" min="5" max="5"/>
    <col width="10.86328125" bestFit="1" customWidth="1" style="45" min="6" max="10"/>
    <col width="18" customWidth="1" style="44" min="11" max="11"/>
    <col width="5.1328125" bestFit="1" customWidth="1" style="39" min="12" max="12"/>
    <col width="9.59765625" customWidth="1" style="39" min="13" max="13"/>
    <col width="6.86328125" bestFit="1" customWidth="1" style="39" min="14" max="14"/>
    <col width="21.3984375" customWidth="1" style="39" min="15" max="15"/>
    <col width="20.86328125" bestFit="1" customWidth="1" style="39" min="16" max="16"/>
    <col width="7.265625" bestFit="1" customWidth="1" style="7" min="17" max="17"/>
    <col width="8.86328125" bestFit="1" customWidth="1" style="7" min="18" max="18"/>
  </cols>
  <sheetData>
    <row r="1">
      <c r="C1" s="84" t="inlineStr">
        <is>
          <t>Transporte dos Cargos de Confiança</t>
        </is>
      </c>
      <c r="D1" s="82" t="n"/>
      <c r="E1" s="82" t="n"/>
      <c r="F1" s="82" t="n"/>
      <c r="G1" s="82" t="n"/>
      <c r="H1" s="82" t="n"/>
      <c r="I1" s="82" t="n"/>
      <c r="J1" s="82" t="n"/>
      <c r="K1" s="82" t="n"/>
      <c r="L1" s="82" t="n"/>
      <c r="M1" s="82" t="n"/>
      <c r="N1" s="83" t="n"/>
      <c r="P1" s="39" t="inlineStr">
        <is>
          <t xml:space="preserve">Observação após Férias </t>
        </is>
      </c>
    </row>
    <row r="2">
      <c r="C2" s="15" t="inlineStr">
        <is>
          <t>Passageiros</t>
        </is>
      </c>
      <c r="D2" s="16" t="inlineStr">
        <is>
          <t>CIDADE</t>
        </is>
      </c>
      <c r="E2" s="16" t="inlineStr">
        <is>
          <t>JORNADA</t>
        </is>
      </c>
      <c r="F2" s="17" t="inlineStr">
        <is>
          <t xml:space="preserve">SEGUNDA </t>
        </is>
      </c>
      <c r="G2" s="17" t="inlineStr">
        <is>
          <t xml:space="preserve">TERÇA  </t>
        </is>
      </c>
      <c r="H2" s="17" t="inlineStr">
        <is>
          <t xml:space="preserve">QUARTA   </t>
        </is>
      </c>
      <c r="I2" s="17" t="inlineStr">
        <is>
          <t xml:space="preserve">QUINTA    </t>
        </is>
      </c>
      <c r="J2" s="15" t="inlineStr">
        <is>
          <t xml:space="preserve">SEXTA       </t>
        </is>
      </c>
      <c r="K2" s="15" t="n"/>
      <c r="L2" s="15" t="n"/>
      <c r="M2" s="15" t="n"/>
      <c r="N2" s="15" t="n"/>
      <c r="P2" s="76" t="n"/>
    </row>
    <row r="3" ht="24" customHeight="1" s="7">
      <c r="B3" s="18" t="inlineStr">
        <is>
          <t>Motoristas</t>
        </is>
      </c>
      <c r="C3" s="18" t="inlineStr">
        <is>
          <t xml:space="preserve">Itumbiara </t>
        </is>
      </c>
      <c r="D3" s="19" t="n"/>
      <c r="E3" s="19" t="n"/>
      <c r="F3" s="20" t="n"/>
      <c r="G3" s="20" t="n"/>
      <c r="H3" s="20" t="n"/>
      <c r="I3" s="20" t="n"/>
      <c r="J3" s="20" t="n"/>
      <c r="K3" s="14" t="inlineStr">
        <is>
          <t>Operação</t>
        </is>
      </c>
      <c r="L3" s="14" t="inlineStr">
        <is>
          <t>Atual</t>
        </is>
      </c>
      <c r="M3" s="14" t="inlineStr">
        <is>
          <t>Capacidade Total</t>
        </is>
      </c>
      <c r="N3" s="14" t="inlineStr">
        <is>
          <t>Deficit</t>
        </is>
      </c>
      <c r="O3" s="75" t="inlineStr">
        <is>
          <t xml:space="preserve">Setor </t>
        </is>
      </c>
      <c r="P3" s="76" t="n"/>
    </row>
    <row r="4" ht="24" customHeight="1" s="7">
      <c r="A4" s="52" t="inlineStr">
        <is>
          <t>A/C</t>
        </is>
      </c>
      <c r="B4" s="52" t="inlineStr">
        <is>
          <t>Henrique/Feliciano</t>
        </is>
      </c>
      <c r="C4" s="22" t="inlineStr">
        <is>
          <t>Cristiane - Fernando Fonseca -Thiago-  Mikaella - Andressa - Jessika</t>
        </is>
      </c>
      <c r="D4" s="21" t="inlineStr">
        <is>
          <t>Itumbiara</t>
        </is>
      </c>
      <c r="E4" s="21" t="inlineStr">
        <is>
          <t>adm</t>
        </is>
      </c>
      <c r="F4" s="23" t="inlineStr">
        <is>
          <t>1685 (Spin)</t>
        </is>
      </c>
      <c r="G4" s="23" t="inlineStr">
        <is>
          <t>1685 (Spin)</t>
        </is>
      </c>
      <c r="H4" s="23" t="inlineStr">
        <is>
          <t>1685 (Spin)</t>
        </is>
      </c>
      <c r="I4" s="23" t="inlineStr">
        <is>
          <t>1685 (Spin)</t>
        </is>
      </c>
      <c r="J4" s="23" t="inlineStr">
        <is>
          <t>1685 (Spin)</t>
        </is>
      </c>
      <c r="K4" s="21" t="inlineStr">
        <is>
          <t>Gregory (Turno)</t>
        </is>
      </c>
      <c r="L4" s="40" t="n">
        <v>6</v>
      </c>
      <c r="M4" s="40" t="n">
        <v>6</v>
      </c>
      <c r="N4" s="40">
        <f>M4-L4</f>
        <v/>
      </c>
      <c r="O4" s="41" t="inlineStr">
        <is>
          <t>Umuarama</t>
        </is>
      </c>
      <c r="P4" s="77" t="inlineStr">
        <is>
          <t>Daniela / Jose Alexandro</t>
        </is>
      </c>
      <c r="Q4" s="13" t="n"/>
      <c r="R4" s="13" t="n"/>
    </row>
    <row r="5">
      <c r="A5" s="52" t="n"/>
      <c r="B5" s="52" t="inlineStr">
        <is>
          <t>Gilson/Carlos Augusto</t>
        </is>
      </c>
      <c r="C5" s="22" t="inlineStr">
        <is>
          <t xml:space="preserve">  Pablo- Eris - Rosimar- Emilly- Marco Túlio T.I - Ed Carlos</t>
        </is>
      </c>
      <c r="D5" s="21" t="inlineStr">
        <is>
          <t>Itumbiara</t>
        </is>
      </c>
      <c r="E5" s="21" t="inlineStr">
        <is>
          <t>adm</t>
        </is>
      </c>
      <c r="F5" s="23" t="inlineStr">
        <is>
          <t>1722 (Spin)</t>
        </is>
      </c>
      <c r="G5" s="23" t="inlineStr">
        <is>
          <t>1722 (Spin)</t>
        </is>
      </c>
      <c r="H5" s="23" t="inlineStr">
        <is>
          <t>1722 (Spin)</t>
        </is>
      </c>
      <c r="I5" s="23" t="inlineStr">
        <is>
          <t>1722 (Spin)</t>
        </is>
      </c>
      <c r="J5" s="23" t="inlineStr">
        <is>
          <t>1722 (Spin)</t>
        </is>
      </c>
      <c r="K5" s="21" t="inlineStr">
        <is>
          <t>Gregory</t>
        </is>
      </c>
      <c r="L5" s="40" t="n">
        <v>6</v>
      </c>
      <c r="M5" s="40" t="n">
        <v>6</v>
      </c>
      <c r="N5" s="40">
        <f>M5-L5</f>
        <v/>
      </c>
      <c r="O5" s="41" t="inlineStr">
        <is>
          <t>Unimed - Celso maeda</t>
        </is>
      </c>
      <c r="P5" s="77" t="inlineStr">
        <is>
          <t xml:space="preserve">pablo / Eris </t>
        </is>
      </c>
      <c r="Q5" s="13" t="inlineStr">
        <is>
          <t>Combinar com Eris para ir no carro e fazer a rota dia 06.01.</t>
        </is>
      </c>
      <c r="R5" s="13" t="n"/>
    </row>
    <row r="6" ht="24" customHeight="1" s="7">
      <c r="A6" s="52" t="inlineStr">
        <is>
          <t>A/C</t>
        </is>
      </c>
      <c r="B6" s="52" t="inlineStr">
        <is>
          <t>Paulo/Mirclênio</t>
        </is>
      </c>
      <c r="C6" s="22" t="inlineStr">
        <is>
          <t xml:space="preserve"> Danilo Brunard - Franscico -Leandro- Marco Thullio T.I - Luchiana - Valdeci - Grazielle</t>
        </is>
      </c>
      <c r="D6" s="21" t="inlineStr">
        <is>
          <t>Itumbiara</t>
        </is>
      </c>
      <c r="E6" s="21" t="inlineStr">
        <is>
          <t>adm</t>
        </is>
      </c>
      <c r="F6" s="23" t="inlineStr">
        <is>
          <t>1683 (Spin)</t>
        </is>
      </c>
      <c r="G6" s="23" t="inlineStr">
        <is>
          <t>1683 (Spin)</t>
        </is>
      </c>
      <c r="H6" s="23" t="inlineStr">
        <is>
          <t>1683 (Spin)</t>
        </is>
      </c>
      <c r="I6" s="23" t="inlineStr">
        <is>
          <t>1683 (Spin)</t>
        </is>
      </c>
      <c r="J6" s="23" t="inlineStr">
        <is>
          <t>1683 (Spin)</t>
        </is>
      </c>
      <c r="K6" s="21" t="inlineStr">
        <is>
          <t>Edmilson</t>
        </is>
      </c>
      <c r="L6" s="40" t="n">
        <v>7</v>
      </c>
      <c r="M6" s="40" t="n">
        <v>6</v>
      </c>
      <c r="N6" s="40">
        <f>M6-L6</f>
        <v/>
      </c>
      <c r="O6" s="41" t="inlineStr">
        <is>
          <t xml:space="preserve">Ponte ferro </t>
        </is>
      </c>
      <c r="P6" s="77" t="inlineStr">
        <is>
          <t>Paulo / Mirclenio</t>
        </is>
      </c>
      <c r="Q6" s="13" t="n"/>
      <c r="R6" s="13" t="n"/>
    </row>
    <row r="7" ht="24" customHeight="1" s="7">
      <c r="A7" s="52" t="inlineStr">
        <is>
          <t>A/C</t>
        </is>
      </c>
      <c r="B7" s="52" t="inlineStr">
        <is>
          <t>Walles/Marcos</t>
        </is>
      </c>
      <c r="C7" s="22" t="inlineStr">
        <is>
          <t>Gessimon - Paulo Sergio  - Thaline - Alexandre T.I - Evandro - Jesusmar</t>
        </is>
      </c>
      <c r="D7" s="21" t="inlineStr">
        <is>
          <t>Itumbiara</t>
        </is>
      </c>
      <c r="E7" s="21" t="inlineStr">
        <is>
          <t>adm</t>
        </is>
      </c>
      <c r="F7" s="23" t="inlineStr">
        <is>
          <t>1687 (Spin)</t>
        </is>
      </c>
      <c r="G7" s="23" t="inlineStr">
        <is>
          <t>1687 (Spin)</t>
        </is>
      </c>
      <c r="H7" s="23" t="inlineStr">
        <is>
          <t>1687 (Spin)</t>
        </is>
      </c>
      <c r="I7" s="23" t="inlineStr">
        <is>
          <t>1687 (Spin)</t>
        </is>
      </c>
      <c r="J7" s="23" t="inlineStr">
        <is>
          <t>1687 (Spin)</t>
        </is>
      </c>
      <c r="K7" s="21" t="inlineStr">
        <is>
          <t>Sebastiao Seg.</t>
        </is>
      </c>
      <c r="L7" s="40" t="n">
        <v>6</v>
      </c>
      <c r="M7" s="40" t="n">
        <v>6</v>
      </c>
      <c r="N7" s="40">
        <f>M7-L7</f>
        <v/>
      </c>
      <c r="O7" s="41" t="inlineStr">
        <is>
          <t>Umuarama</t>
        </is>
      </c>
      <c r="P7" s="77" t="inlineStr">
        <is>
          <t>Walles/Marcos</t>
        </is>
      </c>
      <c r="Q7" s="13" t="n"/>
      <c r="R7" s="13" t="n"/>
    </row>
    <row r="8" ht="24" customHeight="1" s="7">
      <c r="A8" s="52" t="inlineStr">
        <is>
          <t>A/C</t>
        </is>
      </c>
      <c r="B8" s="52" t="inlineStr">
        <is>
          <t>Alaerte/Eugênio</t>
        </is>
      </c>
      <c r="C8" s="22" t="inlineStr">
        <is>
          <t xml:space="preserve">Cristiano Ribeiro-Raiane-Enilton-Marcos Dias-Raphael T.I - Wellyskley - </t>
        </is>
      </c>
      <c r="D8" s="21" t="inlineStr">
        <is>
          <t>Itumbiara</t>
        </is>
      </c>
      <c r="E8" s="21" t="inlineStr">
        <is>
          <t>adm</t>
        </is>
      </c>
      <c r="F8" s="23" t="inlineStr">
        <is>
          <t>1688 (Spin)</t>
        </is>
      </c>
      <c r="G8" s="23" t="inlineStr">
        <is>
          <t>1688 (Spin)</t>
        </is>
      </c>
      <c r="H8" s="23" t="inlineStr">
        <is>
          <t>1688 (Spin)</t>
        </is>
      </c>
      <c r="I8" s="23" t="inlineStr">
        <is>
          <t>1688 (Spin)</t>
        </is>
      </c>
      <c r="J8" s="23" t="inlineStr">
        <is>
          <t>1688 (Spin)</t>
        </is>
      </c>
      <c r="K8" s="21" t="inlineStr">
        <is>
          <t>Junior</t>
        </is>
      </c>
      <c r="L8" s="40" t="n">
        <v>7</v>
      </c>
      <c r="M8" s="40" t="n">
        <v>6</v>
      </c>
      <c r="N8" s="40">
        <f>M8-L8</f>
        <v/>
      </c>
      <c r="O8" s="41" t="inlineStr">
        <is>
          <t>Bretas / casa parabrisa</t>
        </is>
      </c>
      <c r="P8" s="77" t="inlineStr">
        <is>
          <t>Alaerte/Eugênio</t>
        </is>
      </c>
      <c r="Q8" s="13" t="n"/>
      <c r="R8" s="13" t="n"/>
    </row>
    <row r="9" ht="24" customHeight="1" s="7">
      <c r="A9" s="52" t="inlineStr">
        <is>
          <t>A/C</t>
        </is>
      </c>
      <c r="B9" s="52" t="inlineStr">
        <is>
          <t>Luciana/José/Daniela</t>
        </is>
      </c>
      <c r="C9" s="22" t="inlineStr">
        <is>
          <t>Armando - Carlos Henrique - Djauma- Hyago - Meire</t>
        </is>
      </c>
      <c r="D9" s="21" t="inlineStr">
        <is>
          <t>Itumbiara</t>
        </is>
      </c>
      <c r="E9" s="21" t="inlineStr">
        <is>
          <t>turno</t>
        </is>
      </c>
      <c r="F9" s="23" t="inlineStr">
        <is>
          <t>1719 (Spin)</t>
        </is>
      </c>
      <c r="G9" s="23" t="inlineStr">
        <is>
          <t>1719 (Spin)</t>
        </is>
      </c>
      <c r="H9" s="23" t="inlineStr">
        <is>
          <t>1719 (Spin)</t>
        </is>
      </c>
      <c r="I9" s="23" t="inlineStr">
        <is>
          <t>1719 (Spin)</t>
        </is>
      </c>
      <c r="J9" s="23" t="inlineStr">
        <is>
          <t>1719 (Spin)</t>
        </is>
      </c>
      <c r="K9" s="21" t="inlineStr">
        <is>
          <t>Jadhe</t>
        </is>
      </c>
      <c r="L9" s="40" t="n">
        <v>6</v>
      </c>
      <c r="M9" s="40" t="n">
        <v>6</v>
      </c>
      <c r="N9" s="40">
        <f>M9-L9</f>
        <v/>
      </c>
      <c r="O9" s="41" t="n"/>
      <c r="P9" s="77" t="inlineStr">
        <is>
          <t>Hyago</t>
        </is>
      </c>
      <c r="Q9" s="13" t="n"/>
      <c r="R9" s="13" t="n"/>
    </row>
    <row r="10">
      <c r="C10" s="24" t="n"/>
      <c r="D10" s="25" t="n"/>
      <c r="E10" s="25" t="n"/>
      <c r="F10" s="26" t="n"/>
      <c r="G10" s="26" t="n"/>
      <c r="H10" s="26" t="n"/>
      <c r="I10" s="26" t="n"/>
      <c r="J10" s="26" t="n"/>
      <c r="K10" s="25" t="n"/>
      <c r="L10" s="40">
        <f>SUM(L4:L9)</f>
        <v/>
      </c>
      <c r="M10" s="40">
        <f>SUM(M4:M9)</f>
        <v/>
      </c>
      <c r="N10" s="40">
        <f>SUM(N4:N9)</f>
        <v/>
      </c>
      <c r="O10" s="42" t="n"/>
      <c r="P10" s="76" t="n"/>
    </row>
    <row r="11" ht="24" customHeight="1" s="7">
      <c r="C11" s="27" t="inlineStr">
        <is>
          <t>Bom Jesus</t>
        </is>
      </c>
      <c r="D11" s="28" t="n"/>
      <c r="E11" s="28" t="n"/>
      <c r="F11" s="28" t="n"/>
      <c r="G11" s="28" t="n"/>
      <c r="H11" s="28" t="n"/>
      <c r="I11" s="28" t="n"/>
      <c r="J11" s="28" t="n"/>
      <c r="K11" s="14" t="inlineStr">
        <is>
          <t>Operação</t>
        </is>
      </c>
      <c r="L11" s="14" t="inlineStr">
        <is>
          <t>Atual</t>
        </is>
      </c>
      <c r="M11" s="14" t="inlineStr">
        <is>
          <t>Capacidade Total</t>
        </is>
      </c>
      <c r="N11" s="14" t="inlineStr">
        <is>
          <t>Deficite</t>
        </is>
      </c>
      <c r="O11" s="42" t="n"/>
    </row>
    <row r="12">
      <c r="A12" s="40" t="n">
        <v>8</v>
      </c>
      <c r="B12" s="40" t="n"/>
      <c r="C12" s="29" t="inlineStr">
        <is>
          <t>Wilson Prates - Elessandro</t>
        </is>
      </c>
      <c r="D12" s="30" t="inlineStr">
        <is>
          <t>Bom Jesus</t>
        </is>
      </c>
      <c r="E12" s="30" t="inlineStr">
        <is>
          <t>adm</t>
        </is>
      </c>
      <c r="F12" s="31" t="inlineStr">
        <is>
          <t>1670 (Polo)</t>
        </is>
      </c>
      <c r="G12" s="31" t="inlineStr">
        <is>
          <t>1670 (Polo)</t>
        </is>
      </c>
      <c r="H12" s="31" t="inlineStr">
        <is>
          <t>1670 (Polo)</t>
        </is>
      </c>
      <c r="I12" s="31" t="inlineStr">
        <is>
          <t>1670 (Polo)</t>
        </is>
      </c>
      <c r="J12" s="31" t="inlineStr">
        <is>
          <t>1670 (Polo)</t>
        </is>
      </c>
      <c r="K12" s="30" t="inlineStr">
        <is>
          <t>Wilson Prates</t>
        </is>
      </c>
      <c r="L12" s="43" t="n">
        <v>2</v>
      </c>
      <c r="M12" s="40" t="n">
        <v>4</v>
      </c>
      <c r="N12" s="40">
        <f>M12-L12</f>
        <v/>
      </c>
    </row>
    <row r="13">
      <c r="A13" s="40" t="n">
        <v>9</v>
      </c>
      <c r="B13" s="40" t="n"/>
      <c r="C13" s="29" t="inlineStr">
        <is>
          <t>Josimar - Raugleissy - Dione</t>
        </is>
      </c>
      <c r="D13" s="30" t="inlineStr">
        <is>
          <t>Bom Jesus</t>
        </is>
      </c>
      <c r="E13" s="30" t="inlineStr">
        <is>
          <t>adm</t>
        </is>
      </c>
      <c r="F13" s="31" t="inlineStr">
        <is>
          <t>1733 (Polo)</t>
        </is>
      </c>
      <c r="G13" s="31" t="inlineStr">
        <is>
          <t>1733 (Polo)</t>
        </is>
      </c>
      <c r="H13" s="31" t="inlineStr">
        <is>
          <t>1733 (Polo)</t>
        </is>
      </c>
      <c r="I13" s="31" t="inlineStr">
        <is>
          <t>1733 (Polo)</t>
        </is>
      </c>
      <c r="J13" s="31" t="inlineStr">
        <is>
          <t>1733 (Polo)</t>
        </is>
      </c>
      <c r="K13" s="30" t="inlineStr">
        <is>
          <t>Josimar</t>
        </is>
      </c>
      <c r="L13" s="40" t="n">
        <v>3</v>
      </c>
      <c r="M13" s="40" t="n">
        <v>4</v>
      </c>
      <c r="N13" s="40">
        <f>M13-L13</f>
        <v/>
      </c>
    </row>
    <row r="14">
      <c r="A14" s="40" t="n">
        <v>10</v>
      </c>
      <c r="B14" s="40" t="n"/>
      <c r="C14" s="29" t="inlineStr">
        <is>
          <t xml:space="preserve">Ricardo </t>
        </is>
      </c>
      <c r="D14" s="30" t="inlineStr">
        <is>
          <t>Bom Jesus</t>
        </is>
      </c>
      <c r="E14" s="30" t="inlineStr">
        <is>
          <t>adm</t>
        </is>
      </c>
      <c r="F14" s="31" t="inlineStr">
        <is>
          <t>1738 (Argo)</t>
        </is>
      </c>
      <c r="G14" s="31" t="inlineStr">
        <is>
          <t>1738 (Argo)</t>
        </is>
      </c>
      <c r="H14" s="31" t="inlineStr">
        <is>
          <t>1738 (Argo)</t>
        </is>
      </c>
      <c r="I14" s="31" t="inlineStr">
        <is>
          <t>1738 (Argo)</t>
        </is>
      </c>
      <c r="J14" s="31" t="inlineStr">
        <is>
          <t>1738 (Argo)</t>
        </is>
      </c>
      <c r="K14" s="30" t="inlineStr">
        <is>
          <t>Ricardo</t>
        </is>
      </c>
      <c r="L14" s="26" t="n">
        <v>1</v>
      </c>
      <c r="M14" s="40" t="n">
        <v>2</v>
      </c>
      <c r="N14" s="40">
        <f>M14-L14</f>
        <v/>
      </c>
    </row>
    <row r="15">
      <c r="A15" s="40" t="n">
        <v>11</v>
      </c>
      <c r="B15" s="40" t="n"/>
      <c r="C15" s="29" t="inlineStr">
        <is>
          <t xml:space="preserve">Ailton - Juliana - Marilúcio - Leila </t>
        </is>
      </c>
      <c r="D15" s="30" t="inlineStr">
        <is>
          <t>Bom Jesus</t>
        </is>
      </c>
      <c r="E15" s="30" t="inlineStr">
        <is>
          <t>adm</t>
        </is>
      </c>
      <c r="F15" s="31" t="inlineStr">
        <is>
          <t>1662 (Polo)</t>
        </is>
      </c>
      <c r="G15" s="31" t="inlineStr">
        <is>
          <t>1662 (Polo)</t>
        </is>
      </c>
      <c r="H15" s="31" t="inlineStr">
        <is>
          <t>1662 (Polo)</t>
        </is>
      </c>
      <c r="I15" s="31" t="inlineStr">
        <is>
          <t>1662 (Polo)</t>
        </is>
      </c>
      <c r="J15" s="31" t="inlineStr">
        <is>
          <t>1662 (Polo)</t>
        </is>
      </c>
      <c r="K15" s="30" t="inlineStr">
        <is>
          <t>Divino Roque</t>
        </is>
      </c>
      <c r="L15" s="40" t="n">
        <v>4</v>
      </c>
      <c r="M15" s="40" t="n">
        <v>4</v>
      </c>
      <c r="N15" s="40">
        <f>M15-L15</f>
        <v/>
      </c>
    </row>
    <row r="16">
      <c r="A16" s="40" t="n"/>
      <c r="B16" s="40" t="n"/>
      <c r="C16" s="29" t="inlineStr">
        <is>
          <t>Christiano Puccinelli  - Adriano Gobi - Ana Flavia - Jhade</t>
        </is>
      </c>
      <c r="D16" s="30" t="inlineStr">
        <is>
          <t>Bom Jesus</t>
        </is>
      </c>
      <c r="E16" s="30" t="inlineStr">
        <is>
          <t>adm</t>
        </is>
      </c>
      <c r="F16" s="31" t="inlineStr">
        <is>
          <t>1684 (Spin)</t>
        </is>
      </c>
      <c r="G16" s="31" t="inlineStr">
        <is>
          <t>1684 (Spin)</t>
        </is>
      </c>
      <c r="H16" s="31" t="inlineStr">
        <is>
          <t>1684 (Spin)</t>
        </is>
      </c>
      <c r="I16" s="31" t="inlineStr">
        <is>
          <t>1684 (Spin)</t>
        </is>
      </c>
      <c r="J16" s="31" t="inlineStr">
        <is>
          <t>1684 (Spin)</t>
        </is>
      </c>
      <c r="K16" s="30" t="inlineStr">
        <is>
          <t>Jadhe</t>
        </is>
      </c>
      <c r="L16" s="40" t="n">
        <v>5</v>
      </c>
      <c r="M16" s="40" t="n">
        <v>6</v>
      </c>
      <c r="N16" s="40">
        <f>M16-L16</f>
        <v/>
      </c>
    </row>
    <row r="17">
      <c r="A17" s="40" t="n">
        <v>13</v>
      </c>
      <c r="B17" s="40" t="n"/>
      <c r="C17" s="29" t="inlineStr">
        <is>
          <t>Eduardo Parra - Célio Jr - Deibidi Luiz  - Lidiane</t>
        </is>
      </c>
      <c r="D17" s="29" t="inlineStr">
        <is>
          <t>Bom Jesus</t>
        </is>
      </c>
      <c r="E17" s="29" t="inlineStr">
        <is>
          <t>adm</t>
        </is>
      </c>
      <c r="F17" s="29" t="inlineStr">
        <is>
          <t>1674 (Polo)</t>
        </is>
      </c>
      <c r="G17" s="29" t="inlineStr">
        <is>
          <t>1674 (Polo)</t>
        </is>
      </c>
      <c r="H17" s="29" t="inlineStr">
        <is>
          <t>1674 (Polo)</t>
        </is>
      </c>
      <c r="I17" s="29" t="inlineStr">
        <is>
          <t>1674 (Polo)</t>
        </is>
      </c>
      <c r="J17" s="29" t="inlineStr">
        <is>
          <t>1674 (Polo)</t>
        </is>
      </c>
      <c r="K17" s="29" t="inlineStr">
        <is>
          <t>Eduardo Parra</t>
        </is>
      </c>
      <c r="L17" s="40" t="n">
        <v>4</v>
      </c>
      <c r="M17" s="40" t="n">
        <v>4</v>
      </c>
      <c r="N17" s="40">
        <f>M17-L17</f>
        <v/>
      </c>
    </row>
    <row r="18">
      <c r="A18" s="40" t="n"/>
      <c r="B18" s="40" t="n"/>
      <c r="C18" s="29" t="inlineStr">
        <is>
          <t>Alexandre</t>
        </is>
      </c>
      <c r="D18" s="29" t="inlineStr">
        <is>
          <t>Bom Jesus</t>
        </is>
      </c>
      <c r="E18" s="29" t="inlineStr">
        <is>
          <t>adm</t>
        </is>
      </c>
      <c r="F18" s="29" t="inlineStr">
        <is>
          <t>1655 (Polo)</t>
        </is>
      </c>
      <c r="G18" s="29" t="inlineStr">
        <is>
          <t>1655 (Polo)</t>
        </is>
      </c>
      <c r="H18" s="29" t="inlineStr">
        <is>
          <t>1655 (Polo)</t>
        </is>
      </c>
      <c r="I18" s="29" t="inlineStr">
        <is>
          <t>1655 (Polo)</t>
        </is>
      </c>
      <c r="J18" s="29" t="inlineStr">
        <is>
          <t>1655 (Polo)</t>
        </is>
      </c>
      <c r="K18" s="29" t="inlineStr">
        <is>
          <t>Alexandre</t>
        </is>
      </c>
      <c r="L18" s="40" t="n">
        <v>1</v>
      </c>
      <c r="M18" s="40" t="n">
        <v>4</v>
      </c>
      <c r="N18" s="40">
        <f>M18-L18</f>
        <v/>
      </c>
    </row>
    <row r="19">
      <c r="A19" s="40" t="n">
        <v>15</v>
      </c>
      <c r="B19" s="40" t="n"/>
      <c r="C19" s="29" t="inlineStr">
        <is>
          <t xml:space="preserve">Elias Miranda </t>
        </is>
      </c>
      <c r="D19" s="30" t="inlineStr">
        <is>
          <t>Bom Jesus</t>
        </is>
      </c>
      <c r="E19" s="30" t="inlineStr">
        <is>
          <t>adm</t>
        </is>
      </c>
      <c r="F19" s="31" t="inlineStr">
        <is>
          <t>1680 (Polo)</t>
        </is>
      </c>
      <c r="G19" s="31" t="inlineStr">
        <is>
          <t>1680 (Polo)</t>
        </is>
      </c>
      <c r="H19" s="31" t="inlineStr">
        <is>
          <t>1680 (Polo)</t>
        </is>
      </c>
      <c r="I19" s="31" t="inlineStr">
        <is>
          <t>1680 (Polo)</t>
        </is>
      </c>
      <c r="J19" s="31" t="inlineStr">
        <is>
          <t>1680 (Polo)</t>
        </is>
      </c>
      <c r="K19" s="30" t="inlineStr">
        <is>
          <t>Elias</t>
        </is>
      </c>
      <c r="L19" s="40" t="n">
        <v>1</v>
      </c>
      <c r="M19" s="40" t="n">
        <v>4</v>
      </c>
      <c r="N19" s="40">
        <f>M19-L19</f>
        <v/>
      </c>
    </row>
    <row r="20">
      <c r="A20" s="40" t="n"/>
      <c r="B20" s="40" t="n"/>
      <c r="C20" s="30" t="inlineStr">
        <is>
          <t xml:space="preserve">José Firmino </t>
        </is>
      </c>
      <c r="D20" s="31" t="inlineStr">
        <is>
          <t>Bom Jesus</t>
        </is>
      </c>
      <c r="E20" s="31" t="inlineStr">
        <is>
          <t>adm</t>
        </is>
      </c>
      <c r="F20" s="31" t="inlineStr">
        <is>
          <t>1706 (Oroc)</t>
        </is>
      </c>
      <c r="G20" s="31" t="inlineStr">
        <is>
          <t>1706 (Oroc)</t>
        </is>
      </c>
      <c r="H20" s="31" t="inlineStr">
        <is>
          <t>1706 (Oroc)</t>
        </is>
      </c>
      <c r="I20" s="31" t="inlineStr">
        <is>
          <t>1706 (Oroc)</t>
        </is>
      </c>
      <c r="J20" s="31" t="inlineStr">
        <is>
          <t>1706 (Oroc)</t>
        </is>
      </c>
      <c r="K20" s="30" t="inlineStr">
        <is>
          <t xml:space="preserve">José Firmino </t>
        </is>
      </c>
      <c r="L20" s="40" t="n">
        <v>1</v>
      </c>
      <c r="M20" s="40" t="n">
        <v>4</v>
      </c>
      <c r="N20" s="40">
        <f>M20-L20</f>
        <v/>
      </c>
    </row>
    <row r="21">
      <c r="A21" s="40" t="n">
        <v>16</v>
      </c>
      <c r="B21" s="40" t="n"/>
      <c r="C21" s="29" t="inlineStr">
        <is>
          <t>Michel</t>
        </is>
      </c>
      <c r="D21" s="31" t="inlineStr">
        <is>
          <t>Bom Jesus</t>
        </is>
      </c>
      <c r="E21" s="31" t="inlineStr">
        <is>
          <t>adm</t>
        </is>
      </c>
      <c r="F21" s="31" t="inlineStr">
        <is>
          <t>1700 (Strada)</t>
        </is>
      </c>
      <c r="G21" s="31" t="inlineStr">
        <is>
          <t>1700 (Strada)</t>
        </is>
      </c>
      <c r="H21" s="31" t="inlineStr">
        <is>
          <t>1700 (Strada)</t>
        </is>
      </c>
      <c r="I21" s="31" t="inlineStr">
        <is>
          <t>1700 (Strada)</t>
        </is>
      </c>
      <c r="J21" s="31" t="inlineStr">
        <is>
          <t>1700 (Strada)</t>
        </is>
      </c>
      <c r="K21" s="30" t="inlineStr">
        <is>
          <t>Michel</t>
        </is>
      </c>
      <c r="L21" s="40" t="n">
        <v>1</v>
      </c>
      <c r="M21" s="40" t="n">
        <v>4</v>
      </c>
      <c r="N21" s="40">
        <f>M21-L21</f>
        <v/>
      </c>
    </row>
    <row r="22">
      <c r="C22" s="24" t="n"/>
      <c r="D22" s="26" t="n"/>
      <c r="E22" s="26" t="n"/>
      <c r="F22" s="26" t="n"/>
      <c r="G22" s="26" t="n"/>
      <c r="H22" s="26" t="n"/>
      <c r="I22" s="26" t="n"/>
      <c r="J22" s="26" t="n"/>
      <c r="K22" s="25" t="n"/>
      <c r="L22" s="40">
        <f>SUM(L12:L21)</f>
        <v/>
      </c>
      <c r="M22" s="40">
        <f>SUM(M12:M21)</f>
        <v/>
      </c>
      <c r="N22" s="40">
        <f>SUM(N12:N21)</f>
        <v/>
      </c>
    </row>
    <row r="23" ht="24" customHeight="1" s="7">
      <c r="C23" s="32" t="inlineStr">
        <is>
          <t>Goiatuba</t>
        </is>
      </c>
      <c r="D23" s="33" t="n"/>
      <c r="E23" s="33" t="n"/>
      <c r="F23" s="33" t="n"/>
      <c r="G23" s="33" t="n"/>
      <c r="H23" s="33" t="n"/>
      <c r="I23" s="33" t="n"/>
      <c r="J23" s="33" t="n"/>
      <c r="K23" s="28" t="inlineStr">
        <is>
          <t>Operação</t>
        </is>
      </c>
      <c r="L23" s="19" t="inlineStr">
        <is>
          <t>Atual</t>
        </is>
      </c>
      <c r="M23" s="14" t="inlineStr">
        <is>
          <t>Capacidade Total</t>
        </is>
      </c>
      <c r="N23" s="19" t="inlineStr">
        <is>
          <t>Deficite</t>
        </is>
      </c>
    </row>
    <row r="24">
      <c r="A24" s="40" t="n">
        <v>19</v>
      </c>
      <c r="B24" s="40" t="n"/>
      <c r="C24" s="35" t="inlineStr">
        <is>
          <t>Fabio Henrique</t>
        </is>
      </c>
      <c r="D24" s="34" t="inlineStr">
        <is>
          <t>Goiatuba</t>
        </is>
      </c>
      <c r="E24" s="34" t="inlineStr">
        <is>
          <t>adm</t>
        </is>
      </c>
      <c r="F24" s="34" t="inlineStr">
        <is>
          <t>1678 (Polo)</t>
        </is>
      </c>
      <c r="G24" s="34" t="inlineStr">
        <is>
          <t>1678 (Polo)</t>
        </is>
      </c>
      <c r="H24" s="34" t="inlineStr">
        <is>
          <t>1678 (Polo)</t>
        </is>
      </c>
      <c r="I24" s="34" t="inlineStr">
        <is>
          <t>1678 (Polo)</t>
        </is>
      </c>
      <c r="J24" s="34" t="inlineStr">
        <is>
          <t>1678 (Polo)</t>
        </is>
      </c>
      <c r="K24" s="35" t="inlineStr">
        <is>
          <t>Fabio</t>
        </is>
      </c>
      <c r="L24" s="40" t="n">
        <v>1</v>
      </c>
      <c r="M24" s="40" t="n">
        <v>4</v>
      </c>
      <c r="N24" s="40">
        <f>M24-L24</f>
        <v/>
      </c>
    </row>
    <row r="25">
      <c r="A25" s="40" t="n">
        <v>20</v>
      </c>
      <c r="B25" s="40" t="n"/>
      <c r="C25" s="35" t="inlineStr">
        <is>
          <t>Alvimar-Paulo Sergio-Victor-Luiz Felipe (Moenda) -Laiane</t>
        </is>
      </c>
      <c r="D25" s="34" t="inlineStr">
        <is>
          <t>Goiatuba</t>
        </is>
      </c>
      <c r="E25" s="34" t="inlineStr">
        <is>
          <t>adm</t>
        </is>
      </c>
      <c r="F25" s="34" t="inlineStr">
        <is>
          <t>1687 (Spin)</t>
        </is>
      </c>
      <c r="G25" s="34" t="inlineStr">
        <is>
          <t>1687 (Spin)</t>
        </is>
      </c>
      <c r="H25" s="34" t="inlineStr">
        <is>
          <t>1687 (Spin)</t>
        </is>
      </c>
      <c r="I25" s="34" t="inlineStr">
        <is>
          <t>1687 (Spin)</t>
        </is>
      </c>
      <c r="J25" s="34" t="inlineStr">
        <is>
          <t>1687 (Spin)</t>
        </is>
      </c>
      <c r="K25" s="35" t="inlineStr">
        <is>
          <t>Transportes</t>
        </is>
      </c>
      <c r="L25" s="40" t="n">
        <v>4</v>
      </c>
      <c r="M25" s="40" t="n">
        <v>6</v>
      </c>
      <c r="N25" s="40">
        <f>M25-L25</f>
        <v/>
      </c>
    </row>
    <row r="26" ht="24" customHeight="1" s="7">
      <c r="A26" s="40" t="n">
        <v>21</v>
      </c>
      <c r="B26" s="40" t="n"/>
      <c r="C26" s="35" t="inlineStr">
        <is>
          <t xml:space="preserve">Jonas - Fernando Pascoalini </t>
        </is>
      </c>
      <c r="D26" s="34" t="inlineStr">
        <is>
          <t>Goiatuba</t>
        </is>
      </c>
      <c r="E26" s="34" t="inlineStr">
        <is>
          <t>adm</t>
        </is>
      </c>
      <c r="F26" s="34" t="inlineStr">
        <is>
          <t>1657 (Polo)</t>
        </is>
      </c>
      <c r="G26" s="34" t="inlineStr">
        <is>
          <t>1657 (Polo)</t>
        </is>
      </c>
      <c r="H26" s="34" t="inlineStr">
        <is>
          <t>1657 (Polo)</t>
        </is>
      </c>
      <c r="I26" s="34" t="inlineStr">
        <is>
          <t>1657 (Polo)</t>
        </is>
      </c>
      <c r="J26" s="34" t="inlineStr">
        <is>
          <t>1657 (Polo)</t>
        </is>
      </c>
      <c r="K26" s="35" t="inlineStr">
        <is>
          <t>Jonas Terras ou Pascoaline</t>
        </is>
      </c>
      <c r="L26" s="40" t="n">
        <v>2</v>
      </c>
      <c r="M26" s="40" t="n">
        <v>4</v>
      </c>
      <c r="N26" s="40">
        <f>M26-L26</f>
        <v/>
      </c>
    </row>
    <row r="27">
      <c r="A27" s="40" t="n">
        <v>22</v>
      </c>
      <c r="B27" s="40" t="n"/>
      <c r="C27" s="35" t="inlineStr">
        <is>
          <t>Walter - Junior - Uinter - Divino Roque- Leonardo Oliveira</t>
        </is>
      </c>
      <c r="D27" s="34" t="inlineStr">
        <is>
          <t>Goiatuba</t>
        </is>
      </c>
      <c r="E27" s="34" t="inlineStr">
        <is>
          <t>adm</t>
        </is>
      </c>
      <c r="F27" s="34" t="inlineStr">
        <is>
          <t>1726 (Strada)</t>
        </is>
      </c>
      <c r="G27" s="34" t="inlineStr">
        <is>
          <t>1726 (Strada)</t>
        </is>
      </c>
      <c r="H27" s="34" t="inlineStr">
        <is>
          <t>1726 (Strada)</t>
        </is>
      </c>
      <c r="I27" s="34" t="inlineStr">
        <is>
          <t>1726 (Strada)</t>
        </is>
      </c>
      <c r="J27" s="34" t="inlineStr">
        <is>
          <t>1726 (Strada)</t>
        </is>
      </c>
      <c r="K27" s="35" t="inlineStr">
        <is>
          <t>Junior</t>
        </is>
      </c>
      <c r="L27" s="40" t="n">
        <v>4</v>
      </c>
      <c r="M27" s="40" t="n">
        <v>4</v>
      </c>
      <c r="N27" s="40">
        <f>M27-L27</f>
        <v/>
      </c>
    </row>
    <row r="28">
      <c r="A28" s="40" t="n">
        <v>22</v>
      </c>
      <c r="B28" s="40" t="n"/>
      <c r="C28" s="35" t="inlineStr">
        <is>
          <t>Adnilson</t>
        </is>
      </c>
      <c r="D28" s="34" t="inlineStr">
        <is>
          <t>Goiatuba</t>
        </is>
      </c>
      <c r="E28" s="34" t="inlineStr">
        <is>
          <t>adm</t>
        </is>
      </c>
      <c r="F28" s="34" t="inlineStr">
        <is>
          <t>1730 (Polo)</t>
        </is>
      </c>
      <c r="G28" s="34" t="inlineStr">
        <is>
          <t>1730 (Polo)</t>
        </is>
      </c>
      <c r="H28" s="34" t="inlineStr">
        <is>
          <t>1730 (Polo)</t>
        </is>
      </c>
      <c r="I28" s="34" t="inlineStr">
        <is>
          <t>1730 (Polo)</t>
        </is>
      </c>
      <c r="J28" s="34" t="inlineStr">
        <is>
          <t>1730 (Polo)</t>
        </is>
      </c>
      <c r="K28" s="35" t="inlineStr">
        <is>
          <t>Adnilson</t>
        </is>
      </c>
      <c r="L28" s="40" t="n">
        <v>1</v>
      </c>
      <c r="M28" s="40" t="n">
        <v>4</v>
      </c>
      <c r="N28" s="40">
        <f>M28-L28</f>
        <v/>
      </c>
    </row>
    <row r="29">
      <c r="A29" s="40" t="n">
        <v>22</v>
      </c>
      <c r="B29" s="40" t="n"/>
      <c r="C29" s="35" t="inlineStr">
        <is>
          <t>Luis Carlos (Caldeiraria) -  Luiz Carlos (Elétrica) - Rafael Poi -  Rogerio Scorsi - Felipe - Leidiane</t>
        </is>
      </c>
      <c r="D29" s="34" t="inlineStr">
        <is>
          <t>Goiatuba</t>
        </is>
      </c>
      <c r="E29" s="34" t="inlineStr">
        <is>
          <t>adm</t>
        </is>
      </c>
      <c r="F29" s="34" t="inlineStr">
        <is>
          <t>1686 (Spin)</t>
        </is>
      </c>
      <c r="G29" s="34" t="inlineStr">
        <is>
          <t>1686 (Spin)</t>
        </is>
      </c>
      <c r="H29" s="34" t="inlineStr">
        <is>
          <t>1686 (Spin)</t>
        </is>
      </c>
      <c r="I29" s="34" t="inlineStr">
        <is>
          <t>1686 (Spin)</t>
        </is>
      </c>
      <c r="J29" s="34" t="inlineStr">
        <is>
          <t>1686 (Spin)</t>
        </is>
      </c>
      <c r="K29" s="35" t="inlineStr">
        <is>
          <t>Eusvane/Victor/Gregory</t>
        </is>
      </c>
      <c r="L29" s="40" t="n">
        <v>6</v>
      </c>
      <c r="M29" s="40" t="n">
        <v>6</v>
      </c>
      <c r="N29" s="40">
        <f>M29-L29</f>
        <v/>
      </c>
    </row>
    <row r="30">
      <c r="A30" s="40" t="n">
        <v>26</v>
      </c>
      <c r="B30" s="40" t="n"/>
      <c r="C30" s="35" t="inlineStr">
        <is>
          <t>Antônio Monteiro - Giovanni Rabesco  -Uaster- Linneker - Jailson</t>
        </is>
      </c>
      <c r="D30" s="34" t="inlineStr">
        <is>
          <t>Goiatuba</t>
        </is>
      </c>
      <c r="E30" s="34" t="inlineStr">
        <is>
          <t>adm</t>
        </is>
      </c>
      <c r="F30" s="34" t="inlineStr">
        <is>
          <t>1689 (Spin)</t>
        </is>
      </c>
      <c r="G30" s="34" t="inlineStr">
        <is>
          <t>1689 (Spin)</t>
        </is>
      </c>
      <c r="H30" s="34" t="inlineStr">
        <is>
          <t>1689 (Spin)</t>
        </is>
      </c>
      <c r="I30" s="34" t="inlineStr">
        <is>
          <t>1689 (Spin)</t>
        </is>
      </c>
      <c r="J30" s="34" t="inlineStr">
        <is>
          <t>1689 (Spin)</t>
        </is>
      </c>
      <c r="K30" s="35" t="inlineStr">
        <is>
          <t>Ambulatorio</t>
        </is>
      </c>
      <c r="L30" s="40" t="n">
        <v>5</v>
      </c>
      <c r="M30" s="40" t="n">
        <v>6</v>
      </c>
      <c r="N30" s="40">
        <f>M30-L30</f>
        <v/>
      </c>
    </row>
    <row r="31">
      <c r="A31" s="40" t="n">
        <v>29</v>
      </c>
      <c r="B31" s="40" t="n"/>
      <c r="C31" s="35" t="inlineStr">
        <is>
          <t>Higor- Claudilene - Marcos -Jehovah - Chafick</t>
        </is>
      </c>
      <c r="D31" s="34" t="inlineStr">
        <is>
          <t>Goiatuba</t>
        </is>
      </c>
      <c r="E31" s="34" t="inlineStr">
        <is>
          <t>adm</t>
        </is>
      </c>
      <c r="F31" s="34" t="inlineStr">
        <is>
          <t>1725 (Spin)</t>
        </is>
      </c>
      <c r="G31" s="34" t="inlineStr">
        <is>
          <t>1725 (Spin)</t>
        </is>
      </c>
      <c r="H31" s="34" t="inlineStr">
        <is>
          <t>1725 (Spin)</t>
        </is>
      </c>
      <c r="I31" s="34" t="inlineStr">
        <is>
          <t>1725 (Spin)</t>
        </is>
      </c>
      <c r="J31" s="34" t="inlineStr">
        <is>
          <t>1725 (Spin)</t>
        </is>
      </c>
      <c r="K31" s="35" t="inlineStr">
        <is>
          <t>Gregory</t>
        </is>
      </c>
      <c r="L31" s="40" t="n">
        <v>5</v>
      </c>
      <c r="M31" s="40" t="n">
        <v>6</v>
      </c>
      <c r="N31" s="40">
        <f>M31-L31</f>
        <v/>
      </c>
    </row>
    <row r="32">
      <c r="C32" s="36" t="n"/>
      <c r="D32" s="26" t="n"/>
      <c r="E32" s="26" t="n"/>
      <c r="F32" s="26" t="n"/>
      <c r="G32" s="26" t="n"/>
      <c r="H32" s="26" t="n"/>
      <c r="I32" s="26" t="n"/>
      <c r="J32" s="26" t="n"/>
      <c r="K32" s="25" t="n"/>
      <c r="L32" s="40">
        <f>SUM(L24:L31)</f>
        <v/>
      </c>
      <c r="M32" s="40">
        <f>SUM(M24:M31)</f>
        <v/>
      </c>
      <c r="N32" s="40">
        <f>SUM(N24:N31)</f>
        <v/>
      </c>
    </row>
    <row r="33" ht="24" customHeight="1" s="7">
      <c r="C33" s="32" t="inlineStr">
        <is>
          <t>Pontalina - Meia Ponte</t>
        </is>
      </c>
      <c r="D33" s="33" t="n"/>
      <c r="E33" s="33" t="n"/>
      <c r="F33" s="33" t="n"/>
      <c r="G33" s="33" t="n"/>
      <c r="H33" s="33" t="n"/>
      <c r="I33" s="33" t="n"/>
      <c r="J33" s="33" t="n"/>
      <c r="K33" s="28" t="n"/>
      <c r="L33" s="19" t="inlineStr">
        <is>
          <t>Atual</t>
        </is>
      </c>
      <c r="M33" s="14" t="inlineStr">
        <is>
          <t>Capacidade Total</t>
        </is>
      </c>
      <c r="N33" s="19" t="inlineStr">
        <is>
          <t>Deficite</t>
        </is>
      </c>
    </row>
    <row r="34">
      <c r="A34" s="40" t="n">
        <v>30</v>
      </c>
      <c r="B34" s="40" t="n"/>
      <c r="C34" s="37" t="inlineStr">
        <is>
          <t>Gregory - Luiz - João Ribeiro - Ivone-Arthur</t>
        </is>
      </c>
      <c r="D34" s="38" t="inlineStr">
        <is>
          <t>Pontalina</t>
        </is>
      </c>
      <c r="E34" s="38" t="inlineStr">
        <is>
          <t>adm</t>
        </is>
      </c>
      <c r="F34" s="38" t="inlineStr">
        <is>
          <t>1723 (Spin)</t>
        </is>
      </c>
      <c r="G34" s="38" t="inlineStr">
        <is>
          <t>1723 (Spin)</t>
        </is>
      </c>
      <c r="H34" s="38" t="inlineStr">
        <is>
          <t>1723 (Spin)</t>
        </is>
      </c>
      <c r="I34" s="38" t="inlineStr">
        <is>
          <t>1723 (Spin)</t>
        </is>
      </c>
      <c r="J34" s="38" t="inlineStr">
        <is>
          <t>1723 (Spin)</t>
        </is>
      </c>
      <c r="K34" s="38" t="inlineStr">
        <is>
          <t>Pascoalline</t>
        </is>
      </c>
      <c r="L34" s="52" t="n">
        <v>5</v>
      </c>
      <c r="M34" s="52" t="n">
        <v>6</v>
      </c>
      <c r="N34" s="52">
        <f>M34-L34</f>
        <v/>
      </c>
    </row>
    <row r="35">
      <c r="C35" s="81" t="n"/>
      <c r="D35" s="82" t="n"/>
      <c r="E35" s="82" t="n"/>
      <c r="F35" s="82" t="n"/>
      <c r="G35" s="82" t="n"/>
      <c r="H35" s="82" t="n"/>
      <c r="I35" s="82" t="n"/>
      <c r="J35" s="83" t="n"/>
      <c r="K35" s="81" t="n"/>
      <c r="L35" s="40">
        <f>SUM(L34:L34)</f>
        <v/>
      </c>
      <c r="M35" s="40">
        <f>SUM(M34:M34)</f>
        <v/>
      </c>
      <c r="N35" s="40">
        <f>SUM(N34:N34)</f>
        <v/>
      </c>
    </row>
    <row r="36">
      <c r="L36" s="45">
        <f>SUM(L35+L32+L22+L10)</f>
        <v/>
      </c>
    </row>
  </sheetData>
  <mergeCells count="2">
    <mergeCell ref="C35:J35"/>
    <mergeCell ref="C1:N1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L60"/>
  <sheetViews>
    <sheetView showGridLines="0" workbookViewId="0">
      <pane ySplit="1" topLeftCell="A27" activePane="bottomLeft" state="frozen"/>
      <selection pane="bottomLeft" activeCell="D45" sqref="D45"/>
    </sheetView>
  </sheetViews>
  <sheetFormatPr baseColWidth="8" defaultRowHeight="14.25"/>
  <cols>
    <col width="10.3984375" bestFit="1" customWidth="1" style="7" min="1" max="1"/>
    <col width="14.265625" bestFit="1" customWidth="1" style="7" min="2" max="2"/>
    <col width="35.86328125" bestFit="1" customWidth="1" style="7" min="3" max="3"/>
    <col width="18.3984375" customWidth="1" style="6" min="4" max="8"/>
    <col width="13.3984375" customWidth="1" style="7" min="9" max="9"/>
    <col hidden="1" width="13" customWidth="1" style="7" min="10" max="10"/>
  </cols>
  <sheetData>
    <row r="1">
      <c r="A1" s="4" t="inlineStr">
        <is>
          <t>ROTA</t>
        </is>
      </c>
      <c r="B1" s="4" t="inlineStr">
        <is>
          <t>VEÍCULOS</t>
        </is>
      </c>
      <c r="C1" s="5" t="inlineStr">
        <is>
          <t>COLABORADOR</t>
        </is>
      </c>
      <c r="D1" s="5" t="inlineStr">
        <is>
          <t>SEGUNDA-FEIRA</t>
        </is>
      </c>
      <c r="E1" s="5" t="inlineStr">
        <is>
          <t>TERÇA-FEIRA</t>
        </is>
      </c>
      <c r="F1" s="5" t="inlineStr">
        <is>
          <t>QUARTA-FEIRA</t>
        </is>
      </c>
      <c r="G1" s="5" t="inlineStr">
        <is>
          <t>QUINTA-FEIRA</t>
        </is>
      </c>
      <c r="H1" s="5" t="inlineStr">
        <is>
          <t>SEXTA-FEIRA</t>
        </is>
      </c>
      <c r="I1" s="10" t="inlineStr">
        <is>
          <t xml:space="preserve">Presencial </t>
        </is>
      </c>
    </row>
    <row r="2">
      <c r="A2" s="6" t="n">
        <v>1</v>
      </c>
      <c r="B2" s="6" t="inlineStr">
        <is>
          <t>SPIN</t>
        </is>
      </c>
      <c r="C2" t="inlineStr">
        <is>
          <t>Cristiane Gomes Apolinario Goncalves</t>
        </is>
      </c>
      <c r="D2" s="10" t="inlineStr">
        <is>
          <t xml:space="preserve">Presencial </t>
        </is>
      </c>
      <c r="E2" s="10" t="inlineStr">
        <is>
          <t xml:space="preserve">Presencial </t>
        </is>
      </c>
      <c r="F2" s="10" t="inlineStr">
        <is>
          <t xml:space="preserve">Presencial </t>
        </is>
      </c>
      <c r="G2" s="10" t="inlineStr">
        <is>
          <t xml:space="preserve">Presencial </t>
        </is>
      </c>
      <c r="H2" s="10" t="inlineStr">
        <is>
          <t xml:space="preserve">Presencial </t>
        </is>
      </c>
      <c r="I2" s="10" t="n"/>
      <c r="L2" s="10" t="n"/>
    </row>
    <row r="3">
      <c r="A3" s="6" t="n">
        <v>1</v>
      </c>
      <c r="B3" s="6" t="inlineStr">
        <is>
          <t>SPIN</t>
        </is>
      </c>
      <c r="C3" t="inlineStr">
        <is>
          <t>Fernando Fonseca Cavalcante</t>
        </is>
      </c>
      <c r="D3" s="10" t="inlineStr">
        <is>
          <t xml:space="preserve">Presencial 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10" t="inlineStr">
        <is>
          <t xml:space="preserve">Presencial </t>
        </is>
      </c>
      <c r="H3" s="10" t="inlineStr">
        <is>
          <t xml:space="preserve">Presencial </t>
        </is>
      </c>
    </row>
    <row r="4">
      <c r="A4" s="6" t="n">
        <v>1</v>
      </c>
      <c r="B4" s="6" t="inlineStr">
        <is>
          <t>SPIN</t>
        </is>
      </c>
      <c r="C4" t="inlineStr">
        <is>
          <t>Thiago Aparecido Cavalcante Damasio</t>
        </is>
      </c>
      <c r="D4" s="6" t="inlineStr">
        <is>
          <t>Home Office</t>
        </is>
      </c>
      <c r="E4" s="6" t="inlineStr">
        <is>
          <t>Home Office</t>
        </is>
      </c>
      <c r="F4" s="10" t="inlineStr">
        <is>
          <t xml:space="preserve">Presencial </t>
        </is>
      </c>
      <c r="G4" s="6" t="inlineStr">
        <is>
          <t>Home Office</t>
        </is>
      </c>
      <c r="H4" s="6" t="inlineStr">
        <is>
          <t>Home Office</t>
        </is>
      </c>
    </row>
    <row r="5" hidden="1" ht="15" customHeight="1" s="7">
      <c r="A5" s="6" t="n">
        <v>2</v>
      </c>
      <c r="B5" s="6" t="inlineStr">
        <is>
          <t>SPIN</t>
        </is>
      </c>
      <c r="C5" t="inlineStr">
        <is>
          <t>Dienifer de Araujo Lima</t>
        </is>
      </c>
      <c r="D5" s="10" t="inlineStr">
        <is>
          <t xml:space="preserve">Presencial </t>
        </is>
      </c>
      <c r="E5" s="6" t="inlineStr">
        <is>
          <t>Home Office</t>
        </is>
      </c>
      <c r="F5" s="10" t="inlineStr">
        <is>
          <t>afastada</t>
        </is>
      </c>
      <c r="G5" s="6" t="inlineStr">
        <is>
          <t>Home Office</t>
        </is>
      </c>
      <c r="H5" s="6" t="inlineStr">
        <is>
          <t>Home Office</t>
        </is>
      </c>
    </row>
    <row r="6">
      <c r="A6" s="6" t="n">
        <v>1</v>
      </c>
      <c r="B6" s="6" t="inlineStr">
        <is>
          <t>SPIN</t>
        </is>
      </c>
      <c r="C6" s="74" t="inlineStr">
        <is>
          <t xml:space="preserve"> Mikaella Ribeiro Molina  </t>
        </is>
      </c>
      <c r="D6" s="10" t="inlineStr">
        <is>
          <t xml:space="preserve">Presencial </t>
        </is>
      </c>
      <c r="E6" s="10" t="inlineStr">
        <is>
          <t xml:space="preserve">Presencial </t>
        </is>
      </c>
      <c r="F6" s="10" t="inlineStr">
        <is>
          <t xml:space="preserve">Presencial </t>
        </is>
      </c>
      <c r="G6" s="10" t="inlineStr">
        <is>
          <t xml:space="preserve">Presencial </t>
        </is>
      </c>
      <c r="H6" s="10" t="inlineStr">
        <is>
          <t xml:space="preserve">Presencial </t>
        </is>
      </c>
    </row>
    <row r="7">
      <c r="A7" s="6" t="n">
        <v>1</v>
      </c>
      <c r="B7" s="6" t="inlineStr">
        <is>
          <t>SPIN</t>
        </is>
      </c>
      <c r="C7" s="74" t="inlineStr">
        <is>
          <t>Jessika Lorranne Silva Bezerra</t>
        </is>
      </c>
      <c r="D7" s="10" t="inlineStr">
        <is>
          <t xml:space="preserve">Presencial </t>
        </is>
      </c>
      <c r="E7" s="10" t="inlineStr">
        <is>
          <t xml:space="preserve">Presencial </t>
        </is>
      </c>
      <c r="F7" s="10" t="inlineStr">
        <is>
          <t xml:space="preserve">Presencial </t>
        </is>
      </c>
      <c r="G7" s="10" t="inlineStr">
        <is>
          <t xml:space="preserve">Presencial </t>
        </is>
      </c>
      <c r="H7" s="10" t="inlineStr">
        <is>
          <t xml:space="preserve">Presencial </t>
        </is>
      </c>
    </row>
    <row r="8">
      <c r="A8" s="6" t="n">
        <v>1</v>
      </c>
      <c r="B8" s="6" t="inlineStr">
        <is>
          <t>SPIN</t>
        </is>
      </c>
      <c r="C8" s="74" t="inlineStr">
        <is>
          <t>Andressa Vanin</t>
        </is>
      </c>
      <c r="D8" s="10" t="inlineStr">
        <is>
          <t xml:space="preserve">Presencial </t>
        </is>
      </c>
      <c r="E8" s="10" t="inlineStr">
        <is>
          <t xml:space="preserve">Presencial </t>
        </is>
      </c>
      <c r="F8" s="10" t="inlineStr">
        <is>
          <t xml:space="preserve">Presencial </t>
        </is>
      </c>
      <c r="G8" s="10" t="inlineStr">
        <is>
          <t xml:space="preserve">Presencial </t>
        </is>
      </c>
      <c r="H8" s="10" t="inlineStr">
        <is>
          <t xml:space="preserve">Presencial </t>
        </is>
      </c>
    </row>
    <row r="9">
      <c r="A9" s="6" t="n">
        <v>2</v>
      </c>
      <c r="B9" s="6" t="inlineStr">
        <is>
          <t>SPIN</t>
        </is>
      </c>
      <c r="C9" t="inlineStr">
        <is>
          <t>Danilo Brunard Borges Andrade</t>
        </is>
      </c>
      <c r="D9" s="6" t="inlineStr">
        <is>
          <t>Home Office</t>
        </is>
      </c>
      <c r="E9" s="10" t="inlineStr">
        <is>
          <t xml:space="preserve">Presencial </t>
        </is>
      </c>
      <c r="F9" s="10" t="inlineStr">
        <is>
          <t xml:space="preserve">Presencial </t>
        </is>
      </c>
      <c r="G9" s="10" t="inlineStr">
        <is>
          <t xml:space="preserve">Presencial </t>
        </is>
      </c>
      <c r="H9" s="10" t="inlineStr">
        <is>
          <t xml:space="preserve">Presencial </t>
        </is>
      </c>
      <c r="I9" s="46" t="n"/>
    </row>
    <row r="10">
      <c r="A10" s="6" t="n">
        <v>2</v>
      </c>
      <c r="B10" s="6" t="inlineStr">
        <is>
          <t>SPIN</t>
        </is>
      </c>
      <c r="C10" t="inlineStr">
        <is>
          <t>Marcos Thullio Soares Batista</t>
        </is>
      </c>
      <c r="D10" s="10" t="inlineStr">
        <is>
          <t xml:space="preserve">Presencial </t>
        </is>
      </c>
      <c r="E10" s="10" t="inlineStr">
        <is>
          <t xml:space="preserve">Presencial </t>
        </is>
      </c>
      <c r="F10" s="10" t="inlineStr">
        <is>
          <t xml:space="preserve">Presencial </t>
        </is>
      </c>
      <c r="G10" s="10" t="inlineStr">
        <is>
          <t xml:space="preserve">Presencial </t>
        </is>
      </c>
      <c r="H10" s="10" t="inlineStr">
        <is>
          <t xml:space="preserve">Presencial </t>
        </is>
      </c>
      <c r="I10" s="46" t="n"/>
    </row>
    <row r="11">
      <c r="A11" s="6" t="n">
        <v>2</v>
      </c>
      <c r="B11" s="6" t="inlineStr">
        <is>
          <t>SPIN</t>
        </is>
      </c>
      <c r="C11" t="inlineStr">
        <is>
          <t>Francisco Weliton Maciel Viana</t>
        </is>
      </c>
      <c r="D11" s="6" t="inlineStr">
        <is>
          <t>Home Office</t>
        </is>
      </c>
      <c r="E11" s="6" t="inlineStr">
        <is>
          <t>Home Office</t>
        </is>
      </c>
      <c r="F11" s="6" t="inlineStr">
        <is>
          <t>Home Office</t>
        </is>
      </c>
      <c r="G11" s="10" t="inlineStr">
        <is>
          <t xml:space="preserve">Presencial </t>
        </is>
      </c>
      <c r="H11" s="6" t="inlineStr">
        <is>
          <t>Home Office</t>
        </is>
      </c>
      <c r="I11" s="46" t="n"/>
    </row>
    <row r="12">
      <c r="A12" s="6" t="n">
        <v>2</v>
      </c>
      <c r="B12" s="6" t="inlineStr">
        <is>
          <t>SPIN</t>
        </is>
      </c>
      <c r="C12" t="inlineStr">
        <is>
          <t>Luchiana Fernandes Silva Esteller</t>
        </is>
      </c>
      <c r="D12" s="10" t="inlineStr">
        <is>
          <t xml:space="preserve">Presencial </t>
        </is>
      </c>
      <c r="E12" s="6" t="inlineStr">
        <is>
          <t>Home Office</t>
        </is>
      </c>
      <c r="F12" s="10" t="inlineStr">
        <is>
          <t xml:space="preserve">Presencial </t>
        </is>
      </c>
      <c r="G12" s="6" t="inlineStr">
        <is>
          <t>Home Office</t>
        </is>
      </c>
      <c r="H12" s="6" t="inlineStr">
        <is>
          <t>Home Office</t>
        </is>
      </c>
    </row>
    <row r="13">
      <c r="A13" s="6" t="n">
        <v>2</v>
      </c>
      <c r="B13" s="6" t="inlineStr">
        <is>
          <t>SPIN</t>
        </is>
      </c>
      <c r="C13" t="inlineStr">
        <is>
          <t>Leandro Cantalogo</t>
        </is>
      </c>
      <c r="D13" s="10" t="inlineStr">
        <is>
          <t xml:space="preserve">Presencial </t>
        </is>
      </c>
      <c r="E13" s="6" t="inlineStr">
        <is>
          <t>Home Office</t>
        </is>
      </c>
      <c r="F13" s="6" t="inlineStr">
        <is>
          <t>Home Office</t>
        </is>
      </c>
      <c r="G13" s="10" t="inlineStr">
        <is>
          <t xml:space="preserve">Presencial </t>
        </is>
      </c>
      <c r="H13" s="6" t="inlineStr">
        <is>
          <t>Home Office</t>
        </is>
      </c>
    </row>
    <row r="14">
      <c r="A14" s="6" t="n">
        <v>2</v>
      </c>
      <c r="B14" s="6" t="inlineStr">
        <is>
          <t>SPIN</t>
        </is>
      </c>
      <c r="C14" t="inlineStr">
        <is>
          <t xml:space="preserve">Grazielle Batista da Silva Dafico Ramos </t>
        </is>
      </c>
      <c r="D14" s="10" t="inlineStr">
        <is>
          <t xml:space="preserve">Presencial </t>
        </is>
      </c>
      <c r="E14" s="10" t="inlineStr">
        <is>
          <t xml:space="preserve">Presencial </t>
        </is>
      </c>
      <c r="F14" s="10" t="inlineStr">
        <is>
          <t xml:space="preserve">Presencial </t>
        </is>
      </c>
      <c r="G14" s="10" t="inlineStr">
        <is>
          <t xml:space="preserve">Presencial </t>
        </is>
      </c>
      <c r="H14" s="10" t="inlineStr">
        <is>
          <t xml:space="preserve">Presencial </t>
        </is>
      </c>
    </row>
    <row r="15">
      <c r="A15" s="6" t="n">
        <v>2</v>
      </c>
      <c r="B15" s="6" t="inlineStr">
        <is>
          <t>SPIN</t>
        </is>
      </c>
      <c r="C15" t="inlineStr">
        <is>
          <t>Valdeci Moura da Silva</t>
        </is>
      </c>
      <c r="D15" s="10" t="inlineStr">
        <is>
          <t xml:space="preserve">Presencial </t>
        </is>
      </c>
      <c r="E15" s="6" t="inlineStr">
        <is>
          <t>Home Office</t>
        </is>
      </c>
      <c r="F15" s="6" t="inlineStr">
        <is>
          <t>Home Office</t>
        </is>
      </c>
      <c r="G15" s="6" t="inlineStr">
        <is>
          <t>Home Office</t>
        </is>
      </c>
      <c r="H15" s="6" t="inlineStr">
        <is>
          <t>Home Office</t>
        </is>
      </c>
    </row>
    <row r="16">
      <c r="A16" s="6" t="n">
        <v>2</v>
      </c>
      <c r="B16" s="6" t="inlineStr">
        <is>
          <t>SPIN</t>
        </is>
      </c>
      <c r="C16" t="inlineStr">
        <is>
          <t xml:space="preserve">Luana Patricia </t>
        </is>
      </c>
      <c r="D16" s="6" t="inlineStr">
        <is>
          <t>Home Office</t>
        </is>
      </c>
      <c r="E16" s="6" t="inlineStr">
        <is>
          <t>Home Office</t>
        </is>
      </c>
      <c r="F16" s="6" t="inlineStr">
        <is>
          <t>Home Office</t>
        </is>
      </c>
      <c r="G16" s="10" t="inlineStr">
        <is>
          <t xml:space="preserve">Presencial </t>
        </is>
      </c>
      <c r="H16" s="6" t="inlineStr">
        <is>
          <t>Home Office</t>
        </is>
      </c>
    </row>
    <row r="17">
      <c r="A17" s="6" t="n">
        <v>3</v>
      </c>
      <c r="B17" s="6" t="inlineStr">
        <is>
          <t>SPIN</t>
        </is>
      </c>
      <c r="C17" t="inlineStr">
        <is>
          <t>Emilly Samara Muniz Bezerra</t>
        </is>
      </c>
      <c r="D17" s="10" t="inlineStr">
        <is>
          <t xml:space="preserve">Presencial </t>
        </is>
      </c>
      <c r="E17" s="10" t="inlineStr">
        <is>
          <t xml:space="preserve">Presencial </t>
        </is>
      </c>
      <c r="F17" s="10" t="inlineStr">
        <is>
          <t xml:space="preserve">Presencial </t>
        </is>
      </c>
      <c r="G17" s="10" t="inlineStr">
        <is>
          <t xml:space="preserve">Presencial </t>
        </is>
      </c>
      <c r="H17" s="10" t="inlineStr">
        <is>
          <t xml:space="preserve">Presencial </t>
        </is>
      </c>
      <c r="I17" s="56" t="n"/>
    </row>
    <row r="18">
      <c r="A18" s="6" t="n">
        <v>3</v>
      </c>
      <c r="B18" s="6" t="inlineStr">
        <is>
          <t>SPIN</t>
        </is>
      </c>
      <c r="C18" t="inlineStr">
        <is>
          <t>Ed Carlos Alfredo</t>
        </is>
      </c>
      <c r="D18" s="10" t="inlineStr">
        <is>
          <t xml:space="preserve">Presencial </t>
        </is>
      </c>
      <c r="E18" s="10" t="inlineStr">
        <is>
          <t xml:space="preserve">Presencial </t>
        </is>
      </c>
      <c r="F18" s="10" t="inlineStr">
        <is>
          <t xml:space="preserve">Presencial </t>
        </is>
      </c>
      <c r="G18" s="10" t="inlineStr">
        <is>
          <t xml:space="preserve">Presencial </t>
        </is>
      </c>
      <c r="H18" s="10" t="inlineStr">
        <is>
          <t xml:space="preserve">Presencial </t>
        </is>
      </c>
      <c r="I18" s="56" t="n"/>
    </row>
    <row r="19">
      <c r="A19" s="6" t="n">
        <v>3</v>
      </c>
      <c r="B19" s="6" t="inlineStr">
        <is>
          <t>SPIN</t>
        </is>
      </c>
      <c r="C19" t="inlineStr">
        <is>
          <t>Rosimar Carioca Lopes</t>
        </is>
      </c>
      <c r="D19" s="10" t="inlineStr">
        <is>
          <t xml:space="preserve">Presencial </t>
        </is>
      </c>
      <c r="E19" s="10" t="inlineStr">
        <is>
          <t xml:space="preserve">Presencial </t>
        </is>
      </c>
      <c r="F19" s="10" t="inlineStr">
        <is>
          <t xml:space="preserve">Presencial </t>
        </is>
      </c>
      <c r="G19" s="10" t="inlineStr">
        <is>
          <t xml:space="preserve">Presencial </t>
        </is>
      </c>
      <c r="H19" s="10" t="inlineStr">
        <is>
          <t xml:space="preserve">Presencial </t>
        </is>
      </c>
      <c r="I19" s="46" t="n"/>
    </row>
    <row r="20">
      <c r="A20" s="6" t="n">
        <v>3</v>
      </c>
      <c r="B20" s="6" t="inlineStr">
        <is>
          <t>SPIN</t>
        </is>
      </c>
      <c r="C20" t="inlineStr">
        <is>
          <t>Pablo Soeiro Arouche</t>
        </is>
      </c>
      <c r="D20" s="10" t="inlineStr">
        <is>
          <t xml:space="preserve">Presencial </t>
        </is>
      </c>
      <c r="E20" s="10" t="inlineStr">
        <is>
          <t xml:space="preserve">Presencial </t>
        </is>
      </c>
      <c r="F20" s="10" t="inlineStr">
        <is>
          <t xml:space="preserve">Presencial </t>
        </is>
      </c>
      <c r="G20" s="10" t="inlineStr">
        <is>
          <t xml:space="preserve">Presencial </t>
        </is>
      </c>
      <c r="H20" s="10" t="inlineStr">
        <is>
          <t xml:space="preserve">Presencial </t>
        </is>
      </c>
      <c r="I20" s="46" t="n"/>
    </row>
    <row r="21">
      <c r="A21" s="6" t="n">
        <v>3</v>
      </c>
      <c r="B21" s="6" t="inlineStr">
        <is>
          <t>SPIN</t>
        </is>
      </c>
      <c r="C21" t="inlineStr">
        <is>
          <t>Eris Rodrigues Arantes</t>
        </is>
      </c>
      <c r="D21" s="10" t="inlineStr">
        <is>
          <t xml:space="preserve">Presencial </t>
        </is>
      </c>
      <c r="E21" s="10" t="inlineStr">
        <is>
          <t xml:space="preserve">Presencial </t>
        </is>
      </c>
      <c r="F21" s="10" t="inlineStr">
        <is>
          <t xml:space="preserve">Presencial </t>
        </is>
      </c>
      <c r="G21" s="10" t="inlineStr">
        <is>
          <t xml:space="preserve">Presencial </t>
        </is>
      </c>
      <c r="H21" s="10" t="inlineStr">
        <is>
          <t xml:space="preserve">Presencial </t>
        </is>
      </c>
      <c r="I21" s="46" t="n"/>
    </row>
    <row r="22">
      <c r="A22" s="6" t="n">
        <v>4</v>
      </c>
      <c r="B22" s="6" t="inlineStr">
        <is>
          <t>SPIN</t>
        </is>
      </c>
      <c r="C22" t="inlineStr">
        <is>
          <t>Evandro Martins Ferreira</t>
        </is>
      </c>
      <c r="D22" s="10" t="inlineStr">
        <is>
          <t xml:space="preserve">Presencial </t>
        </is>
      </c>
      <c r="E22" s="10" t="inlineStr">
        <is>
          <t xml:space="preserve">Presencial </t>
        </is>
      </c>
      <c r="F22" s="10" t="inlineStr">
        <is>
          <t xml:space="preserve">Presencial </t>
        </is>
      </c>
      <c r="G22" s="10" t="inlineStr">
        <is>
          <t xml:space="preserve">Presencial </t>
        </is>
      </c>
      <c r="H22" s="10" t="inlineStr">
        <is>
          <t xml:space="preserve">Presencial </t>
        </is>
      </c>
      <c r="I22" s="46" t="n"/>
    </row>
    <row r="23">
      <c r="A23" s="10" t="n">
        <v>4</v>
      </c>
      <c r="B23" s="10" t="inlineStr">
        <is>
          <t>SPIN</t>
        </is>
      </c>
      <c r="C23" s="46" t="inlineStr">
        <is>
          <t>Alexandre dos Santos Paiva</t>
        </is>
      </c>
      <c r="D23" s="10" t="inlineStr">
        <is>
          <t>Home Office</t>
        </is>
      </c>
      <c r="E23" s="10" t="inlineStr">
        <is>
          <t>Home Office</t>
        </is>
      </c>
      <c r="F23" s="10" t="inlineStr">
        <is>
          <t xml:space="preserve">Presencial </t>
        </is>
      </c>
      <c r="G23" s="10" t="inlineStr">
        <is>
          <t xml:space="preserve">Presencial </t>
        </is>
      </c>
      <c r="H23" s="10" t="inlineStr">
        <is>
          <t xml:space="preserve">Presencial </t>
        </is>
      </c>
      <c r="I23" s="46" t="n"/>
    </row>
    <row r="24">
      <c r="A24" s="10" t="n">
        <v>4</v>
      </c>
      <c r="B24" s="10" t="inlineStr">
        <is>
          <t>SPIN</t>
        </is>
      </c>
      <c r="C24" s="46" t="inlineStr">
        <is>
          <t>Gessimon Aprigio Alves</t>
        </is>
      </c>
      <c r="D24" s="10" t="inlineStr">
        <is>
          <t xml:space="preserve">Presencial </t>
        </is>
      </c>
      <c r="E24" s="10" t="inlineStr">
        <is>
          <t xml:space="preserve">Presencial </t>
        </is>
      </c>
      <c r="F24" s="10" t="inlineStr">
        <is>
          <t xml:space="preserve">Presencial </t>
        </is>
      </c>
      <c r="G24" s="10" t="inlineStr">
        <is>
          <t xml:space="preserve">Presencial </t>
        </is>
      </c>
      <c r="H24" s="10" t="inlineStr">
        <is>
          <t xml:space="preserve">Presencial </t>
        </is>
      </c>
    </row>
    <row r="25">
      <c r="A25" s="10" t="n">
        <v>4</v>
      </c>
      <c r="B25" s="10" t="inlineStr">
        <is>
          <t>SPIN</t>
        </is>
      </c>
      <c r="C25" s="46" t="inlineStr">
        <is>
          <t>Jesusmar Alves Silveira</t>
        </is>
      </c>
      <c r="D25" s="10" t="inlineStr">
        <is>
          <t xml:space="preserve">Presencial </t>
        </is>
      </c>
      <c r="E25" s="10" t="inlineStr">
        <is>
          <t xml:space="preserve">Presencial </t>
        </is>
      </c>
      <c r="F25" s="10" t="inlineStr">
        <is>
          <t xml:space="preserve">Presencial </t>
        </is>
      </c>
      <c r="G25" s="10" t="inlineStr">
        <is>
          <t xml:space="preserve">Presencial </t>
        </is>
      </c>
      <c r="H25" s="10" t="inlineStr">
        <is>
          <t xml:space="preserve">Presencial </t>
        </is>
      </c>
    </row>
    <row r="26">
      <c r="A26" s="10" t="n">
        <v>4</v>
      </c>
      <c r="B26" s="10" t="inlineStr">
        <is>
          <t>SPIN</t>
        </is>
      </c>
      <c r="C26" s="46" t="inlineStr">
        <is>
          <t>Paulo Sergio da Silva</t>
        </is>
      </c>
      <c r="D26" s="10" t="inlineStr">
        <is>
          <t xml:space="preserve">Presencial </t>
        </is>
      </c>
      <c r="E26" s="10" t="inlineStr">
        <is>
          <t xml:space="preserve">Presencial </t>
        </is>
      </c>
      <c r="F26" s="10" t="inlineStr">
        <is>
          <t xml:space="preserve">Presencial </t>
        </is>
      </c>
      <c r="G26" s="10" t="inlineStr">
        <is>
          <t xml:space="preserve">Presencial </t>
        </is>
      </c>
      <c r="H26" s="10" t="inlineStr">
        <is>
          <t xml:space="preserve">Presencial </t>
        </is>
      </c>
    </row>
    <row r="27">
      <c r="A27" s="10" t="n">
        <v>4</v>
      </c>
      <c r="B27" s="10" t="inlineStr">
        <is>
          <t>SPIN</t>
        </is>
      </c>
      <c r="C27" s="46" t="inlineStr">
        <is>
          <t>Thaline Campanate Silva</t>
        </is>
      </c>
      <c r="D27" s="10" t="inlineStr">
        <is>
          <t>Home Office</t>
        </is>
      </c>
      <c r="E27" s="10" t="inlineStr">
        <is>
          <t>Home Office</t>
        </is>
      </c>
      <c r="F27" s="10" t="inlineStr">
        <is>
          <t>Home Office</t>
        </is>
      </c>
      <c r="G27" s="10" t="inlineStr">
        <is>
          <t>Home Office</t>
        </is>
      </c>
      <c r="H27" s="10" t="inlineStr">
        <is>
          <t>Home Office</t>
        </is>
      </c>
    </row>
    <row r="28">
      <c r="A28" s="6" t="n">
        <v>5</v>
      </c>
      <c r="B28" s="6" t="inlineStr">
        <is>
          <t>SPIN</t>
        </is>
      </c>
      <c r="C28" t="inlineStr">
        <is>
          <t>Marcos Dias Moreira Junior</t>
        </is>
      </c>
      <c r="D28" s="6" t="inlineStr">
        <is>
          <t>Home Office</t>
        </is>
      </c>
      <c r="E28" s="6" t="inlineStr">
        <is>
          <t>Home Office</t>
        </is>
      </c>
      <c r="F28" s="10" t="inlineStr">
        <is>
          <t xml:space="preserve">Presencial </t>
        </is>
      </c>
      <c r="G28" s="10" t="inlineStr">
        <is>
          <t xml:space="preserve">Presencial </t>
        </is>
      </c>
      <c r="H28" s="10" t="inlineStr">
        <is>
          <t xml:space="preserve">Presencial </t>
        </is>
      </c>
      <c r="I28" s="10" t="n"/>
      <c r="J28" s="10" t="n"/>
      <c r="K28" s="10" t="n"/>
    </row>
    <row r="29">
      <c r="A29" s="6" t="n">
        <v>5</v>
      </c>
      <c r="B29" s="6" t="inlineStr">
        <is>
          <t>SPIN</t>
        </is>
      </c>
      <c r="C29" t="inlineStr">
        <is>
          <t>Wellyskley Martins de Oliveira</t>
        </is>
      </c>
      <c r="D29" s="10" t="inlineStr">
        <is>
          <t xml:space="preserve">Presencial </t>
        </is>
      </c>
      <c r="E29" s="10" t="inlineStr">
        <is>
          <t xml:space="preserve">Presencial </t>
        </is>
      </c>
      <c r="F29" s="10" t="inlineStr">
        <is>
          <t xml:space="preserve">Presencial </t>
        </is>
      </c>
      <c r="G29" s="10" t="inlineStr">
        <is>
          <t xml:space="preserve">Presencial </t>
        </is>
      </c>
      <c r="H29" s="10" t="inlineStr">
        <is>
          <t xml:space="preserve">Presencial </t>
        </is>
      </c>
      <c r="I29" s="10" t="n"/>
      <c r="J29" s="10" t="n"/>
      <c r="K29" s="10" t="n"/>
    </row>
    <row r="30">
      <c r="A30" s="6" t="n">
        <v>5</v>
      </c>
      <c r="B30" s="6" t="inlineStr">
        <is>
          <t>SPIN</t>
        </is>
      </c>
      <c r="C30" t="inlineStr">
        <is>
          <t>Cristiano Ribeiro</t>
        </is>
      </c>
      <c r="D30" s="10" t="inlineStr">
        <is>
          <t xml:space="preserve">Presencial </t>
        </is>
      </c>
      <c r="E30" s="10" t="inlineStr">
        <is>
          <t xml:space="preserve">Presencial </t>
        </is>
      </c>
      <c r="F30" s="10" t="inlineStr">
        <is>
          <t xml:space="preserve">Presencial </t>
        </is>
      </c>
      <c r="G30" s="10" t="inlineStr">
        <is>
          <t xml:space="preserve">Presencial </t>
        </is>
      </c>
      <c r="H30" s="10" t="inlineStr">
        <is>
          <t xml:space="preserve">Presencial </t>
        </is>
      </c>
    </row>
    <row r="31">
      <c r="A31" s="6" t="n">
        <v>5</v>
      </c>
      <c r="B31" s="6" t="inlineStr">
        <is>
          <t>SPIN</t>
        </is>
      </c>
      <c r="C31" t="inlineStr">
        <is>
          <t>Raiane Kezia</t>
        </is>
      </c>
      <c r="D31" s="10" t="inlineStr">
        <is>
          <t xml:space="preserve">Presencial </t>
        </is>
      </c>
      <c r="E31" s="10" t="inlineStr">
        <is>
          <t xml:space="preserve">Presencial </t>
        </is>
      </c>
      <c r="F31" s="10" t="inlineStr">
        <is>
          <t xml:space="preserve">Presencial </t>
        </is>
      </c>
      <c r="G31" s="10" t="inlineStr">
        <is>
          <t xml:space="preserve">Presencial </t>
        </is>
      </c>
      <c r="H31" s="10" t="inlineStr">
        <is>
          <t xml:space="preserve">Presencial </t>
        </is>
      </c>
    </row>
    <row r="32">
      <c r="A32" s="6" t="n">
        <v>5</v>
      </c>
      <c r="B32" s="6" t="inlineStr">
        <is>
          <t>SPIN</t>
        </is>
      </c>
      <c r="C32" t="inlineStr">
        <is>
          <t>Enilton Aparecido Horacio</t>
        </is>
      </c>
      <c r="D32" s="10" t="inlineStr">
        <is>
          <t xml:space="preserve">Presencial </t>
        </is>
      </c>
      <c r="E32" s="10" t="inlineStr">
        <is>
          <t xml:space="preserve">Presencial </t>
        </is>
      </c>
      <c r="F32" s="10" t="inlineStr">
        <is>
          <t xml:space="preserve">Presencial </t>
        </is>
      </c>
      <c r="G32" s="10" t="inlineStr">
        <is>
          <t xml:space="preserve">Presencial </t>
        </is>
      </c>
      <c r="H32" s="10" t="inlineStr">
        <is>
          <t xml:space="preserve">Presencial </t>
        </is>
      </c>
    </row>
    <row r="33">
      <c r="A33" s="6" t="n">
        <v>5</v>
      </c>
      <c r="B33" s="6" t="inlineStr">
        <is>
          <t>SPIN</t>
        </is>
      </c>
      <c r="C33" t="inlineStr">
        <is>
          <t>Raphael Lemes Vieira</t>
        </is>
      </c>
      <c r="D33" s="10" t="inlineStr">
        <is>
          <t xml:space="preserve">Presencial </t>
        </is>
      </c>
      <c r="E33" s="10" t="inlineStr">
        <is>
          <t xml:space="preserve">Presencial </t>
        </is>
      </c>
      <c r="F33" s="6" t="inlineStr">
        <is>
          <t>Home Office</t>
        </is>
      </c>
      <c r="G33" s="6" t="inlineStr">
        <is>
          <t>Home Office</t>
        </is>
      </c>
      <c r="H33" s="6" t="inlineStr">
        <is>
          <t>Home Office</t>
        </is>
      </c>
    </row>
    <row r="34">
      <c r="A34" s="6" t="n">
        <v>6</v>
      </c>
      <c r="B34" s="6" t="inlineStr">
        <is>
          <t>SPIN</t>
        </is>
      </c>
      <c r="C34" t="inlineStr">
        <is>
          <t>Armando Donizetti Miranda</t>
        </is>
      </c>
      <c r="D34" s="10" t="inlineStr">
        <is>
          <t xml:space="preserve">Presencial </t>
        </is>
      </c>
      <c r="E34" s="10" t="inlineStr">
        <is>
          <t xml:space="preserve">Presencial </t>
        </is>
      </c>
      <c r="F34" s="10" t="inlineStr">
        <is>
          <t xml:space="preserve">Presencial </t>
        </is>
      </c>
      <c r="G34" s="10" t="inlineStr">
        <is>
          <t xml:space="preserve">Presencial </t>
        </is>
      </c>
      <c r="H34" s="10" t="inlineStr">
        <is>
          <t xml:space="preserve">Presencial </t>
        </is>
      </c>
    </row>
    <row r="35">
      <c r="A35" s="6" t="n">
        <v>6</v>
      </c>
      <c r="B35" s="6" t="inlineStr">
        <is>
          <t>SPIN</t>
        </is>
      </c>
      <c r="C35" t="inlineStr">
        <is>
          <t>Carlos Henrique Apolinario Silva</t>
        </is>
      </c>
      <c r="D35" s="10" t="inlineStr">
        <is>
          <t xml:space="preserve">Presencial </t>
        </is>
      </c>
      <c r="E35" s="10" t="inlineStr">
        <is>
          <t xml:space="preserve">Presencial </t>
        </is>
      </c>
      <c r="F35" s="10" t="inlineStr">
        <is>
          <t xml:space="preserve">Presencial </t>
        </is>
      </c>
      <c r="G35" s="10" t="inlineStr">
        <is>
          <t xml:space="preserve">Presencial </t>
        </is>
      </c>
      <c r="H35" s="10" t="inlineStr">
        <is>
          <t xml:space="preserve">Presencial </t>
        </is>
      </c>
    </row>
    <row r="36">
      <c r="A36" s="6" t="n">
        <v>6</v>
      </c>
      <c r="B36" s="6" t="inlineStr">
        <is>
          <t>SPIN</t>
        </is>
      </c>
      <c r="C36" t="inlineStr">
        <is>
          <t>Djalma Jose dos Santos Netto</t>
        </is>
      </c>
      <c r="D36" s="10" t="inlineStr">
        <is>
          <t xml:space="preserve">Presencial </t>
        </is>
      </c>
      <c r="E36" s="10" t="inlineStr">
        <is>
          <t xml:space="preserve">Presencial </t>
        </is>
      </c>
      <c r="F36" s="10" t="inlineStr">
        <is>
          <t xml:space="preserve">Presencial </t>
        </is>
      </c>
      <c r="G36" s="10" t="inlineStr">
        <is>
          <t xml:space="preserve">Presencial </t>
        </is>
      </c>
      <c r="H36" s="10" t="inlineStr">
        <is>
          <t xml:space="preserve">Presencial </t>
        </is>
      </c>
    </row>
    <row r="37">
      <c r="A37" s="6" t="n">
        <v>6</v>
      </c>
      <c r="B37" s="6" t="inlineStr">
        <is>
          <t>SPIN</t>
        </is>
      </c>
      <c r="C37" t="inlineStr">
        <is>
          <t>Hyago Sandoval</t>
        </is>
      </c>
      <c r="D37" s="10" t="inlineStr">
        <is>
          <t xml:space="preserve">Presencial </t>
        </is>
      </c>
      <c r="E37" s="10" t="inlineStr">
        <is>
          <t xml:space="preserve">Presencial </t>
        </is>
      </c>
      <c r="F37" s="10" t="inlineStr">
        <is>
          <t xml:space="preserve">Presencial </t>
        </is>
      </c>
      <c r="G37" s="10" t="inlineStr">
        <is>
          <t xml:space="preserve">Presencial </t>
        </is>
      </c>
      <c r="H37" s="10" t="inlineStr">
        <is>
          <t xml:space="preserve">Presencial </t>
        </is>
      </c>
    </row>
    <row r="38">
      <c r="A38" s="6" t="n"/>
      <c r="B38" s="6" t="n"/>
      <c r="C38" s="64" t="inlineStr">
        <is>
          <t xml:space="preserve">Motorista </t>
        </is>
      </c>
      <c r="D38" s="10" t="inlineStr">
        <is>
          <t xml:space="preserve">Presencial </t>
        </is>
      </c>
      <c r="E38" s="10" t="inlineStr">
        <is>
          <t xml:space="preserve">Presencial </t>
        </is>
      </c>
      <c r="F38" s="10" t="inlineStr">
        <is>
          <t xml:space="preserve">Presencial </t>
        </is>
      </c>
      <c r="G38" s="10" t="inlineStr">
        <is>
          <t xml:space="preserve">Presencial </t>
        </is>
      </c>
      <c r="H38" s="10" t="inlineStr">
        <is>
          <t xml:space="preserve">Presencial </t>
        </is>
      </c>
    </row>
    <row r="39" hidden="1" ht="15" customHeight="1" s="7">
      <c r="A39" s="74" t="n"/>
      <c r="C39" s="54" t="inlineStr">
        <is>
          <t>Total de colaboradores dia</t>
        </is>
      </c>
      <c r="D39" s="53">
        <f>COUNTIFS(D2:D38,$I$2)</f>
        <v/>
      </c>
      <c r="E39" s="53">
        <f>COUNTIFS(E2:E38,$I$2)</f>
        <v/>
      </c>
      <c r="F39" s="53">
        <f>COUNTIFS(F2:F38,$I$2)</f>
        <v/>
      </c>
      <c r="G39" s="53">
        <f>COUNTIFS(G2:G38,$I$2)</f>
        <v/>
      </c>
      <c r="H39" s="53">
        <f>COUNTIFS(H2:H38,$I$2)</f>
        <v/>
      </c>
    </row>
    <row r="40" hidden="1" ht="15" customHeight="1" s="7">
      <c r="A40" s="74" t="n"/>
      <c r="C40" s="54" t="inlineStr">
        <is>
          <t>Quantidade Veiculo</t>
        </is>
      </c>
      <c r="D40" s="55">
        <f>D39/5</f>
        <v/>
      </c>
      <c r="E40" s="55">
        <f>E39/5</f>
        <v/>
      </c>
      <c r="F40" s="55">
        <f>F39/5</f>
        <v/>
      </c>
      <c r="G40" s="55">
        <f>G39/5</f>
        <v/>
      </c>
      <c r="H40" s="55">
        <f>H39/5</f>
        <v/>
      </c>
    </row>
    <row r="41" hidden="1" ht="15" customHeight="1" s="7">
      <c r="A41" s="74" t="n"/>
    </row>
    <row r="42" hidden="1" ht="15" customHeight="1" s="7"/>
    <row r="43" hidden="1" ht="15" customHeight="1" s="7"/>
    <row r="44">
      <c r="A44" s="74" t="n"/>
      <c r="G44" s="10" t="n"/>
    </row>
    <row r="45" ht="15.75" customHeight="1" s="7" thickBot="1">
      <c r="A45" s="74" t="n"/>
      <c r="C45" t="inlineStr">
        <is>
          <t xml:space="preserve">Total </t>
        </is>
      </c>
      <c r="D45">
        <f>COUNTIFS(D2:D38,$I$1)</f>
        <v/>
      </c>
      <c r="E45">
        <f>COUNTIFS(E2:E38,$I$1)</f>
        <v/>
      </c>
      <c r="F45">
        <f>COUNTIFS(F2:F38,$I$1)</f>
        <v/>
      </c>
      <c r="G45">
        <f>COUNTIFS(G2:G38,$I$1)</f>
        <v/>
      </c>
      <c r="H45">
        <f>COUNTIFS(H2:H38,$I$1)</f>
        <v/>
      </c>
    </row>
    <row r="46" ht="15.75" customHeight="1" s="7" thickBot="1">
      <c r="A46" s="74" t="n"/>
      <c r="C46" s="64" t="inlineStr">
        <is>
          <t xml:space="preserve">Total de colaboradores Presencial </t>
        </is>
      </c>
      <c r="D46" s="72" t="inlineStr">
        <is>
          <t>SEGUNDA-FEIRA</t>
        </is>
      </c>
      <c r="E46" s="72" t="inlineStr">
        <is>
          <t>TERÇA-FEIRA</t>
        </is>
      </c>
      <c r="F46" s="72" t="inlineStr">
        <is>
          <t>QUARTA-FEIRA</t>
        </is>
      </c>
      <c r="G46" s="72" t="inlineStr">
        <is>
          <t>QUINTA-FEIRA</t>
        </is>
      </c>
      <c r="H46" s="72" t="inlineStr">
        <is>
          <t>SEXTA-FEIRA</t>
        </is>
      </c>
    </row>
    <row r="47">
      <c r="A47" s="74" t="n"/>
      <c r="D47" s="6">
        <f>D45/6</f>
        <v/>
      </c>
      <c r="E47" s="6">
        <f>E45/6</f>
        <v/>
      </c>
      <c r="F47" s="6">
        <f>F45/6</f>
        <v/>
      </c>
      <c r="G47" s="6">
        <f>G45/6</f>
        <v/>
      </c>
      <c r="H47" s="6">
        <f>H45/6</f>
        <v/>
      </c>
    </row>
    <row r="48">
      <c r="A48" s="74" t="n"/>
    </row>
    <row r="49">
      <c r="A49" s="74" t="n"/>
    </row>
    <row r="50">
      <c r="A50" s="74" t="n"/>
    </row>
    <row r="51">
      <c r="A51" s="74" t="n"/>
    </row>
    <row r="52">
      <c r="A52" s="74" t="n"/>
    </row>
    <row r="53">
      <c r="A53" s="74" t="n"/>
    </row>
    <row r="54">
      <c r="A54" s="74" t="n"/>
    </row>
    <row r="55">
      <c r="A55" s="74" t="n"/>
    </row>
    <row r="56">
      <c r="A56" s="74" t="n"/>
    </row>
    <row r="57">
      <c r="A57" s="74" t="n"/>
    </row>
    <row r="58">
      <c r="A58" s="74" t="n"/>
    </row>
    <row r="59">
      <c r="A59" s="74" t="n"/>
    </row>
    <row r="60">
      <c r="A60" s="74" t="n"/>
    </row>
  </sheetData>
  <autoFilter ref="A1:H43">
    <filterColumn colId="5" hiddenButton="0" showButton="1">
      <filters>
        <filter val="Home Office"/>
        <filter val="Presencial"/>
      </filters>
    </filterColumn>
    <sortState ref="A2:H36">
      <sortCondition ref="A1:A41"/>
    </sortState>
  </autoFilter>
  <conditionalFormatting sqref="D12:H22 D25:D26">
    <cfRule type="containsText" priority="124" operator="containsText" dxfId="0" text="Home Office">
      <formula>NOT(ISERROR(SEARCH("Home Office",D12)))</formula>
    </cfRule>
  </conditionalFormatting>
  <conditionalFormatting sqref="D2:E3">
    <cfRule type="containsText" priority="117" operator="containsText" dxfId="0" text="Home Office">
      <formula>NOT(ISERROR(SEARCH("Home Office",D2)))</formula>
    </cfRule>
  </conditionalFormatting>
  <conditionalFormatting sqref="F2:H2">
    <cfRule type="containsText" priority="116" operator="containsText" dxfId="0" text="Home Office">
      <formula>NOT(ISERROR(SEARCH("Home Office",F2)))</formula>
    </cfRule>
  </conditionalFormatting>
  <conditionalFormatting sqref="F4">
    <cfRule type="containsText" priority="115" operator="containsText" dxfId="0" text="Home Office">
      <formula>NOT(ISERROR(SEARCH("Home Office",F4)))</formula>
    </cfRule>
  </conditionalFormatting>
  <conditionalFormatting sqref="D5 D9:H9 F5">
    <cfRule type="containsText" priority="111" operator="containsText" dxfId="0" text="Home Office">
      <formula>NOT(ISERROR(SEARCH("Home Office",D5)))</formula>
    </cfRule>
  </conditionalFormatting>
  <conditionalFormatting sqref="D11">
    <cfRule type="containsText" priority="110" operator="containsText" dxfId="0" text="Home Office">
      <formula>NOT(ISERROR(SEARCH("Home Office",D11)))</formula>
    </cfRule>
  </conditionalFormatting>
  <conditionalFormatting sqref="F11">
    <cfRule type="containsText" priority="109" operator="containsText" dxfId="0" text="Home Office">
      <formula>NOT(ISERROR(SEARCH("Home Office",F11)))</formula>
    </cfRule>
  </conditionalFormatting>
  <conditionalFormatting sqref="G23">
    <cfRule type="containsText" priority="105" operator="containsText" dxfId="0" text="Home Office">
      <formula>NOT(ISERROR(SEARCH("Home Office",G23)))</formula>
    </cfRule>
  </conditionalFormatting>
  <conditionalFormatting sqref="G24">
    <cfRule type="containsText" priority="103" operator="containsText" dxfId="0" text="Home Office">
      <formula>NOT(ISERROR(SEARCH("Home Office",G24)))</formula>
    </cfRule>
  </conditionalFormatting>
  <conditionalFormatting sqref="F26">
    <cfRule type="containsText" priority="99" operator="containsText" dxfId="0" text="Home Office">
      <formula>NOT(ISERROR(SEARCH("Home Office",F26)))</formula>
    </cfRule>
  </conditionalFormatting>
  <conditionalFormatting sqref="D27:H27">
    <cfRule type="containsText" priority="98" operator="containsText" dxfId="0" text="Home Office">
      <formula>NOT(ISERROR(SEARCH("Home Office",D27)))</formula>
    </cfRule>
  </conditionalFormatting>
  <conditionalFormatting sqref="D28:D30">
    <cfRule type="containsText" priority="97" operator="containsText" dxfId="0" text="Home Office">
      <formula>NOT(ISERROR(SEARCH("Home Office",D28)))</formula>
    </cfRule>
  </conditionalFormatting>
  <conditionalFormatting sqref="E29:K29 F30 H30 I28:K28">
    <cfRule type="containsText" priority="96" operator="containsText" dxfId="0" text="Home Office">
      <formula>NOT(ISERROR(SEARCH("Home Office",E28)))</formula>
    </cfRule>
  </conditionalFormatting>
  <conditionalFormatting sqref="F28">
    <cfRule type="containsText" priority="95" operator="containsText" dxfId="0" text="Home Office">
      <formula>NOT(ISERROR(SEARCH("Home Office",F28)))</formula>
    </cfRule>
  </conditionalFormatting>
  <conditionalFormatting sqref="H28">
    <cfRule type="containsText" priority="94" operator="containsText" dxfId="0" text="Home Office">
      <formula>NOT(ISERROR(SEARCH("Home Office",H28)))</formula>
    </cfRule>
  </conditionalFormatting>
  <conditionalFormatting sqref="E31">
    <cfRule type="containsText" priority="93" operator="containsText" dxfId="0" text="Home Office">
      <formula>NOT(ISERROR(SEARCH("Home Office",E31)))</formula>
    </cfRule>
  </conditionalFormatting>
  <conditionalFormatting sqref="G31">
    <cfRule type="containsText" priority="92" operator="containsText" dxfId="0" text="Home Office">
      <formula>NOT(ISERROR(SEARCH("Home Office",G31)))</formula>
    </cfRule>
  </conditionalFormatting>
  <conditionalFormatting sqref="G10">
    <cfRule type="containsText" priority="88" operator="containsText" dxfId="0" text="Home Office">
      <formula>NOT(ISERROR(SEARCH("Home Office",G10)))</formula>
    </cfRule>
  </conditionalFormatting>
  <conditionalFormatting sqref="E33:H33">
    <cfRule type="containsText" priority="83" operator="containsText" dxfId="0" text="Home Office">
      <formula>NOT(ISERROR(SEARCH("Home Office",E33)))</formula>
    </cfRule>
  </conditionalFormatting>
  <conditionalFormatting sqref="G32">
    <cfRule type="containsText" priority="82" operator="containsText" dxfId="0" text="Home Office">
      <formula>NOT(ISERROR(SEARCH("Home Office",G32)))</formula>
    </cfRule>
  </conditionalFormatting>
  <conditionalFormatting sqref="I2">
    <cfRule type="containsText" priority="76" operator="containsText" dxfId="0" text="Home Office">
      <formula>NOT(ISERROR(SEARCH("Home Office",I2)))</formula>
    </cfRule>
  </conditionalFormatting>
  <conditionalFormatting sqref="L2">
    <cfRule type="containsText" priority="75" operator="containsText" dxfId="0" text="Home Office">
      <formula>NOT(ISERROR(SEARCH("Home Office",L2)))</formula>
    </cfRule>
  </conditionalFormatting>
  <conditionalFormatting sqref="D38:H38">
    <cfRule type="containsText" priority="74" operator="containsText" dxfId="0" text="Home Office">
      <formula>NOT(ISERROR(SEARCH("Home Office",D38)))</formula>
    </cfRule>
  </conditionalFormatting>
  <conditionalFormatting sqref="G44">
    <cfRule type="containsText" priority="73" operator="containsText" dxfId="0" text="Home Office">
      <formula>NOT(ISERROR(SEARCH("Home Office",G44)))</formula>
    </cfRule>
  </conditionalFormatting>
  <conditionalFormatting sqref="I1">
    <cfRule type="containsText" priority="70" operator="containsText" dxfId="0" text="Home Office">
      <formula>NOT(ISERROR(SEARCH("Home Office",I1)))</formula>
    </cfRule>
  </conditionalFormatting>
  <conditionalFormatting sqref="H10:H11">
    <cfRule type="containsText" priority="66" operator="containsText" dxfId="0" text="Home Office">
      <formula>NOT(ISERROR(SEARCH("Home Office",H10)))</formula>
    </cfRule>
  </conditionalFormatting>
  <conditionalFormatting sqref="E10:E11">
    <cfRule type="containsText" priority="69" operator="containsText" dxfId="0" text="Home Office">
      <formula>NOT(ISERROR(SEARCH("Home Office",E10)))</formula>
    </cfRule>
  </conditionalFormatting>
  <conditionalFormatting sqref="F10">
    <cfRule type="containsText" priority="68" operator="containsText" dxfId="0" text="Home Office">
      <formula>NOT(ISERROR(SEARCH("Home Office",F10)))</formula>
    </cfRule>
  </conditionalFormatting>
  <conditionalFormatting sqref="G11">
    <cfRule type="containsText" priority="67" operator="containsText" dxfId="0" text="Home Office">
      <formula>NOT(ISERROR(SEARCH("Home Office",G11)))</formula>
    </cfRule>
  </conditionalFormatting>
  <conditionalFormatting sqref="H37">
    <cfRule type="containsText" priority="61" operator="containsText" dxfId="0" text="Home Office">
      <formula>NOT(ISERROR(SEARCH("Home Office",H37)))</formula>
    </cfRule>
  </conditionalFormatting>
  <conditionalFormatting sqref="D37">
    <cfRule type="containsText" priority="65" operator="containsText" dxfId="0" text="Home Office">
      <formula>NOT(ISERROR(SEARCH("Home Office",D37)))</formula>
    </cfRule>
  </conditionalFormatting>
  <conditionalFormatting sqref="E37">
    <cfRule type="containsText" priority="64" operator="containsText" dxfId="0" text="Home Office">
      <formula>NOT(ISERROR(SEARCH("Home Office",E37)))</formula>
    </cfRule>
  </conditionalFormatting>
  <conditionalFormatting sqref="F37">
    <cfRule type="containsText" priority="63" operator="containsText" dxfId="0" text="Home Office">
      <formula>NOT(ISERROR(SEARCH("Home Office",F37)))</formula>
    </cfRule>
  </conditionalFormatting>
  <conditionalFormatting sqref="G37">
    <cfRule type="containsText" priority="62" operator="containsText" dxfId="0" text="Home Office">
      <formula>NOT(ISERROR(SEARCH("Home Office",G37)))</formula>
    </cfRule>
  </conditionalFormatting>
  <conditionalFormatting sqref="H34">
    <cfRule type="containsText" priority="56" operator="containsText" dxfId="0" text="Home Office">
      <formula>NOT(ISERROR(SEARCH("Home Office",H34)))</formula>
    </cfRule>
  </conditionalFormatting>
  <conditionalFormatting sqref="E35">
    <cfRule type="containsText" priority="49" operator="containsText" dxfId="0" text="Home Office">
      <formula>NOT(ISERROR(SEARCH("Home Office",E35)))</formula>
    </cfRule>
  </conditionalFormatting>
  <conditionalFormatting sqref="D34">
    <cfRule type="containsText" priority="60" operator="containsText" dxfId="0" text="Home Office">
      <formula>NOT(ISERROR(SEARCH("Home Office",D34)))</formula>
    </cfRule>
  </conditionalFormatting>
  <conditionalFormatting sqref="E34">
    <cfRule type="containsText" priority="59" operator="containsText" dxfId="0" text="Home Office">
      <formula>NOT(ISERROR(SEARCH("Home Office",E34)))</formula>
    </cfRule>
  </conditionalFormatting>
  <conditionalFormatting sqref="F34">
    <cfRule type="containsText" priority="58" operator="containsText" dxfId="0" text="Home Office">
      <formula>NOT(ISERROR(SEARCH("Home Office",F34)))</formula>
    </cfRule>
  </conditionalFormatting>
  <conditionalFormatting sqref="G34">
    <cfRule type="containsText" priority="57" operator="containsText" dxfId="0" text="Home Office">
      <formula>NOT(ISERROR(SEARCH("Home Office",G34)))</formula>
    </cfRule>
  </conditionalFormatting>
  <conditionalFormatting sqref="H35">
    <cfRule type="containsText" priority="46" operator="containsText" dxfId="0" text="Home Office">
      <formula>NOT(ISERROR(SEARCH("Home Office",H35)))</formula>
    </cfRule>
  </conditionalFormatting>
  <conditionalFormatting sqref="D35">
    <cfRule type="containsText" priority="50" operator="containsText" dxfId="0" text="Home Office">
      <formula>NOT(ISERROR(SEARCH("Home Office",D35)))</formula>
    </cfRule>
  </conditionalFormatting>
  <conditionalFormatting sqref="F35">
    <cfRule type="containsText" priority="48" operator="containsText" dxfId="0" text="Home Office">
      <formula>NOT(ISERROR(SEARCH("Home Office",F35)))</formula>
    </cfRule>
  </conditionalFormatting>
  <conditionalFormatting sqref="G35">
    <cfRule type="containsText" priority="47" operator="containsText" dxfId="0" text="Home Office">
      <formula>NOT(ISERROR(SEARCH("Home Office",G35)))</formula>
    </cfRule>
  </conditionalFormatting>
  <conditionalFormatting sqref="E36">
    <cfRule type="containsText" priority="33" operator="containsText" dxfId="0" text="Home Office">
      <formula>NOT(ISERROR(SEARCH("Home Office",E36)))</formula>
    </cfRule>
  </conditionalFormatting>
  <conditionalFormatting sqref="D36">
    <cfRule type="containsText" priority="31" operator="containsText" dxfId="0" text="Home Office">
      <formula>NOT(ISERROR(SEARCH("Home Office",D36)))</formula>
    </cfRule>
  </conditionalFormatting>
  <conditionalFormatting sqref="F36">
    <cfRule type="containsText" priority="30" operator="containsText" dxfId="0" text="Home Office">
      <formula>NOT(ISERROR(SEARCH("Home Office",F36)))</formula>
    </cfRule>
  </conditionalFormatting>
  <conditionalFormatting sqref="G36">
    <cfRule type="containsText" priority="29" operator="containsText" dxfId="0" text="Home Office">
      <formula>NOT(ISERROR(SEARCH("Home Office",G36)))</formula>
    </cfRule>
  </conditionalFormatting>
  <conditionalFormatting sqref="H36">
    <cfRule type="containsText" priority="28" operator="containsText" dxfId="0" text="Home Office">
      <formula>NOT(ISERROR(SEARCH("Home Office",H36)))</formula>
    </cfRule>
  </conditionalFormatting>
  <conditionalFormatting sqref="D31">
    <cfRule type="containsText" priority="27" operator="containsText" dxfId="0" text="Home Office">
      <formula>NOT(ISERROR(SEARCH("Home Office",D31)))</formula>
    </cfRule>
  </conditionalFormatting>
  <conditionalFormatting sqref="F31">
    <cfRule type="containsText" priority="26" operator="containsText" dxfId="0" text="Home Office">
      <formula>NOT(ISERROR(SEARCH("Home Office",F31)))</formula>
    </cfRule>
  </conditionalFormatting>
  <conditionalFormatting sqref="H31">
    <cfRule type="containsText" priority="25" operator="containsText" dxfId="0" text="Home Office">
      <formula>NOT(ISERROR(SEARCH("Home Office",H31)))</formula>
    </cfRule>
  </conditionalFormatting>
  <conditionalFormatting sqref="E26">
    <cfRule type="containsText" priority="23" operator="containsText" dxfId="0" text="Home Office">
      <formula>NOT(ISERROR(SEARCH("Home Office",E26)))</formula>
    </cfRule>
  </conditionalFormatting>
  <conditionalFormatting sqref="G26:H26">
    <cfRule type="containsText" priority="22" operator="containsText" dxfId="0" text="Home Office">
      <formula>NOT(ISERROR(SEARCH("Home Office",G26)))</formula>
    </cfRule>
  </conditionalFormatting>
  <conditionalFormatting sqref="H23:H24">
    <cfRule type="containsText" priority="21" operator="containsText" dxfId="0" text="Home Office">
      <formula>NOT(ISERROR(SEARCH("Home Office",H23)))</formula>
    </cfRule>
  </conditionalFormatting>
  <conditionalFormatting sqref="H32">
    <cfRule type="containsText" priority="20" operator="containsText" dxfId="0" text="Home Office">
      <formula>NOT(ISERROR(SEARCH("Home Office",H32)))</formula>
    </cfRule>
  </conditionalFormatting>
  <conditionalFormatting sqref="G28">
    <cfRule type="containsText" priority="19" operator="containsText" dxfId="0" text="Home Office">
      <formula>NOT(ISERROR(SEARCH("Home Office",G28)))</formula>
    </cfRule>
  </conditionalFormatting>
  <conditionalFormatting sqref="F23">
    <cfRule type="containsText" priority="18" operator="containsText" dxfId="0" text="Home Office">
      <formula>NOT(ISERROR(SEARCH("Home Office",F23)))</formula>
    </cfRule>
  </conditionalFormatting>
  <conditionalFormatting sqref="F32">
    <cfRule type="containsText" priority="17" operator="containsText" dxfId="0" text="Home Office">
      <formula>NOT(ISERROR(SEARCH("Home Office",F32)))</formula>
    </cfRule>
  </conditionalFormatting>
  <conditionalFormatting sqref="E32">
    <cfRule type="containsText" priority="16" operator="containsText" dxfId="0" text="Home Office">
      <formula>NOT(ISERROR(SEARCH("Home Office",E32)))</formula>
    </cfRule>
  </conditionalFormatting>
  <conditionalFormatting sqref="D32">
    <cfRule type="containsText" priority="14" operator="containsText" dxfId="0" text="Home Office">
      <formula>NOT(ISERROR(SEARCH("Home Office",D32)))</formula>
    </cfRule>
  </conditionalFormatting>
  <conditionalFormatting sqref="D6:H8">
    <cfRule type="containsText" priority="13" operator="containsText" dxfId="0" text="Home Office">
      <formula>NOT(ISERROR(SEARCH("Home Office",D6)))</formula>
    </cfRule>
  </conditionalFormatting>
  <conditionalFormatting sqref="F3">
    <cfRule type="containsText" priority="12" operator="containsText" dxfId="0" text="Home Office">
      <formula>NOT(ISERROR(SEARCH("Home Office",F3)))</formula>
    </cfRule>
  </conditionalFormatting>
  <conditionalFormatting sqref="G3">
    <cfRule type="containsText" priority="11" operator="containsText" dxfId="0" text="Home Office">
      <formula>NOT(ISERROR(SEARCH("Home Office",G3)))</formula>
    </cfRule>
  </conditionalFormatting>
  <conditionalFormatting sqref="H3">
    <cfRule type="containsText" priority="10" operator="containsText" dxfId="0" text="Home Office">
      <formula>NOT(ISERROR(SEARCH("Home Office",H3)))</formula>
    </cfRule>
  </conditionalFormatting>
  <conditionalFormatting sqref="E25:H25">
    <cfRule type="containsText" priority="9" operator="containsText" dxfId="0" text="Home Office">
      <formula>NOT(ISERROR(SEARCH("Home Office",E25)))</formula>
    </cfRule>
  </conditionalFormatting>
  <conditionalFormatting sqref="D24:F24">
    <cfRule type="containsText" priority="8" operator="containsText" dxfId="0" text="Home Office">
      <formula>NOT(ISERROR(SEARCH("Home Office",D24)))</formula>
    </cfRule>
  </conditionalFormatting>
  <conditionalFormatting sqref="D23">
    <cfRule type="containsText" priority="7" operator="containsText" dxfId="0" text="Home Office">
      <formula>NOT(ISERROR(SEARCH("Home Office",D23)))</formula>
    </cfRule>
  </conditionalFormatting>
  <conditionalFormatting sqref="E23">
    <cfRule type="containsText" priority="6" operator="containsText" dxfId="0" text="Home Office">
      <formula>NOT(ISERROR(SEARCH("Home Office",E23)))</formula>
    </cfRule>
  </conditionalFormatting>
  <conditionalFormatting sqref="E30">
    <cfRule type="containsText" priority="5" operator="containsText" dxfId="0" text="Home Office">
      <formula>NOT(ISERROR(SEARCH("Home Office",E30)))</formula>
    </cfRule>
  </conditionalFormatting>
  <conditionalFormatting sqref="G30">
    <cfRule type="containsText" priority="4" operator="containsText" dxfId="0" text="Home Office">
      <formula>NOT(ISERROR(SEARCH("Home Office",G30)))</formula>
    </cfRule>
  </conditionalFormatting>
  <conditionalFormatting sqref="D33">
    <cfRule type="containsText" priority="3" operator="containsText" dxfId="0" text="Home Office">
      <formula>NOT(ISERROR(SEARCH("Home Office",D33)))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D4" sqref="D4"/>
    </sheetView>
  </sheetViews>
  <sheetFormatPr baseColWidth="8" defaultRowHeight="14.25"/>
  <cols>
    <col width="36.59765625" bestFit="1" customWidth="1" style="7" min="3" max="3"/>
    <col width="18.3984375" customWidth="1" style="7" min="4" max="4"/>
    <col width="12.1328125" bestFit="1" customWidth="1" style="7" min="5" max="5"/>
    <col width="15.86328125" customWidth="1" style="7" min="6" max="6"/>
    <col width="16.86328125" customWidth="1" style="7" min="7" max="7"/>
    <col width="12.1328125" bestFit="1" customWidth="1" style="7" min="8" max="8"/>
  </cols>
  <sheetData>
    <row r="1" ht="30" customHeight="1" s="7">
      <c r="A1" s="57" t="inlineStr">
        <is>
          <t>ROTA</t>
        </is>
      </c>
      <c r="B1" s="58" t="inlineStr">
        <is>
          <t>VEÍCULOS</t>
        </is>
      </c>
      <c r="C1" s="59" t="inlineStr">
        <is>
          <t>COLABORADOR</t>
        </is>
      </c>
      <c r="D1" s="59" t="inlineStr">
        <is>
          <t>SEGUNDA-FEIRA</t>
        </is>
      </c>
      <c r="E1" s="59" t="inlineStr">
        <is>
          <t>TERÇA-FEIRA</t>
        </is>
      </c>
      <c r="F1" s="59" t="inlineStr">
        <is>
          <t>QUARTA-FEIRA</t>
        </is>
      </c>
      <c r="G1" s="59" t="inlineStr">
        <is>
          <t>QUINTA-FEIRA</t>
        </is>
      </c>
      <c r="H1" s="59" t="inlineStr">
        <is>
          <t>SEXTA-FEIRA</t>
        </is>
      </c>
      <c r="I1" s="60" t="n"/>
      <c r="J1" s="71" t="inlineStr">
        <is>
          <t xml:space="preserve">Presencial </t>
        </is>
      </c>
    </row>
    <row r="2">
      <c r="A2" s="61" t="n">
        <v>1</v>
      </c>
      <c r="B2" s="6" t="inlineStr">
        <is>
          <t>SPIN</t>
        </is>
      </c>
      <c r="C2" t="inlineStr">
        <is>
          <t>Cristiane Gomes Apolinario Goncalves</t>
        </is>
      </c>
      <c r="D2" s="10" t="inlineStr">
        <is>
          <t xml:space="preserve">Presencial </t>
        </is>
      </c>
      <c r="E2" s="10" t="inlineStr">
        <is>
          <t xml:space="preserve">Presencial </t>
        </is>
      </c>
      <c r="F2" s="10" t="inlineStr">
        <is>
          <t xml:space="preserve">Presencial </t>
        </is>
      </c>
      <c r="G2" s="10" t="inlineStr">
        <is>
          <t xml:space="preserve">Presencial </t>
        </is>
      </c>
      <c r="H2" s="10" t="inlineStr">
        <is>
          <t xml:space="preserve">Presencial </t>
        </is>
      </c>
      <c r="I2" s="62" t="n"/>
    </row>
    <row r="3">
      <c r="A3" s="61" t="n">
        <v>1</v>
      </c>
      <c r="B3" s="6" t="inlineStr">
        <is>
          <t>SPIN</t>
        </is>
      </c>
      <c r="C3" t="inlineStr">
        <is>
          <t>Fernando Fonseca Cavalcante</t>
        </is>
      </c>
      <c r="D3" s="10" t="inlineStr">
        <is>
          <t xml:space="preserve">Presencial 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6" t="inlineStr">
        <is>
          <t>Home Office</t>
        </is>
      </c>
      <c r="H3" s="6" t="inlineStr">
        <is>
          <t>Home Office</t>
        </is>
      </c>
      <c r="I3" s="62" t="n"/>
    </row>
    <row r="4">
      <c r="A4" s="61" t="n">
        <v>1</v>
      </c>
      <c r="B4" s="6" t="inlineStr">
        <is>
          <t>SPIN</t>
        </is>
      </c>
      <c r="C4" t="inlineStr">
        <is>
          <t>Thiago Aparecido Cavalcante Damasio</t>
        </is>
      </c>
      <c r="D4" s="6" t="inlineStr">
        <is>
          <t>Home Office</t>
        </is>
      </c>
      <c r="E4" s="6" t="inlineStr">
        <is>
          <t>Home Office</t>
        </is>
      </c>
      <c r="F4" s="10" t="inlineStr">
        <is>
          <t xml:space="preserve">Presencial </t>
        </is>
      </c>
      <c r="G4" s="6" t="inlineStr">
        <is>
          <t>Home Office</t>
        </is>
      </c>
      <c r="H4" s="6" t="inlineStr">
        <is>
          <t>Home Office</t>
        </is>
      </c>
      <c r="I4" s="62" t="n"/>
    </row>
    <row r="5">
      <c r="A5" s="61" t="n">
        <v>1</v>
      </c>
      <c r="B5" s="6" t="inlineStr">
        <is>
          <t>SPIN</t>
        </is>
      </c>
      <c r="C5" t="inlineStr">
        <is>
          <t>Jessika Lorrane Silva Bezerra</t>
        </is>
      </c>
      <c r="D5" s="10" t="inlineStr">
        <is>
          <t xml:space="preserve">Presencial </t>
        </is>
      </c>
      <c r="E5" s="10" t="inlineStr">
        <is>
          <t xml:space="preserve">Presencial </t>
        </is>
      </c>
      <c r="F5" s="10" t="inlineStr">
        <is>
          <t xml:space="preserve">Presencial </t>
        </is>
      </c>
      <c r="G5" s="10" t="inlineStr">
        <is>
          <t xml:space="preserve">Presencial </t>
        </is>
      </c>
      <c r="H5" s="10" t="inlineStr">
        <is>
          <t xml:space="preserve">Presencial </t>
        </is>
      </c>
      <c r="I5" s="62" t="n"/>
    </row>
    <row r="6">
      <c r="A6" s="6" t="n"/>
      <c r="B6" s="6" t="inlineStr">
        <is>
          <t>SPIN</t>
        </is>
      </c>
      <c r="C6" t="inlineStr">
        <is>
          <t>Marcos Dias Moreira Junior</t>
        </is>
      </c>
      <c r="D6" s="10" t="inlineStr">
        <is>
          <t>Home Office</t>
        </is>
      </c>
      <c r="E6" s="10" t="inlineStr">
        <is>
          <t xml:space="preserve">Presencial </t>
        </is>
      </c>
      <c r="F6" s="10" t="inlineStr">
        <is>
          <t>Home Office</t>
        </is>
      </c>
      <c r="G6" s="10" t="inlineStr">
        <is>
          <t>Home Office</t>
        </is>
      </c>
      <c r="H6" s="10" t="inlineStr">
        <is>
          <t>Home Office</t>
        </is>
      </c>
      <c r="I6" s="62" t="n"/>
    </row>
    <row r="7">
      <c r="A7" s="6" t="n">
        <v>1</v>
      </c>
      <c r="B7" s="6" t="inlineStr">
        <is>
          <t>SPIN</t>
        </is>
      </c>
      <c r="C7" t="inlineStr">
        <is>
          <t xml:space="preserve">Mikaella Ribeiro Molina  </t>
        </is>
      </c>
      <c r="D7" s="6" t="inlineStr">
        <is>
          <t>Home Office</t>
        </is>
      </c>
      <c r="E7" s="6" t="inlineStr">
        <is>
          <t>Home Office</t>
        </is>
      </c>
      <c r="F7" s="6" t="inlineStr">
        <is>
          <t>Home Office</t>
        </is>
      </c>
      <c r="G7" s="10" t="inlineStr">
        <is>
          <t xml:space="preserve">Presencial </t>
        </is>
      </c>
      <c r="H7" s="6" t="inlineStr">
        <is>
          <t>Home Office</t>
        </is>
      </c>
      <c r="I7" s="62" t="n"/>
    </row>
    <row r="8">
      <c r="A8" s="6" t="n">
        <v>1</v>
      </c>
      <c r="B8" s="6" t="inlineStr">
        <is>
          <t>SPIN</t>
        </is>
      </c>
      <c r="C8" t="inlineStr">
        <is>
          <t>Andressa Vanin</t>
        </is>
      </c>
      <c r="D8" s="10" t="inlineStr">
        <is>
          <t xml:space="preserve">Presencial </t>
        </is>
      </c>
      <c r="E8" s="10" t="inlineStr">
        <is>
          <t xml:space="preserve">Presencial </t>
        </is>
      </c>
      <c r="F8" s="10" t="inlineStr">
        <is>
          <t xml:space="preserve">Presencial </t>
        </is>
      </c>
      <c r="G8" s="10" t="inlineStr">
        <is>
          <t xml:space="preserve">Presencial </t>
        </is>
      </c>
      <c r="H8" s="10" t="inlineStr">
        <is>
          <t xml:space="preserve">Presencial </t>
        </is>
      </c>
      <c r="I8" s="62" t="n"/>
    </row>
    <row r="9">
      <c r="A9" s="61" t="n"/>
      <c r="B9" s="6" t="n"/>
      <c r="C9" s="64" t="inlineStr">
        <is>
          <t xml:space="preserve">Motorista </t>
        </is>
      </c>
      <c r="D9" s="10" t="inlineStr">
        <is>
          <t xml:space="preserve">Presencial </t>
        </is>
      </c>
      <c r="E9" s="10" t="inlineStr">
        <is>
          <t xml:space="preserve">Presencial </t>
        </is>
      </c>
      <c r="F9" s="10" t="inlineStr">
        <is>
          <t xml:space="preserve">Presencial </t>
        </is>
      </c>
      <c r="G9" s="10" t="inlineStr">
        <is>
          <t xml:space="preserve">Presencial </t>
        </is>
      </c>
      <c r="H9" s="10" t="inlineStr">
        <is>
          <t xml:space="preserve">Presencial </t>
        </is>
      </c>
      <c r="I9" s="62" t="n"/>
    </row>
    <row r="10">
      <c r="A10" s="63" t="n"/>
      <c r="B10" s="73" t="inlineStr">
        <is>
          <t>PX 1685</t>
        </is>
      </c>
      <c r="I10" s="62" t="n"/>
    </row>
    <row r="11">
      <c r="A11" s="63" t="n"/>
      <c r="I11" s="62" t="n"/>
    </row>
    <row r="12" ht="15.75" customHeight="1" s="7" thickBot="1">
      <c r="A12" s="63" t="n"/>
      <c r="C12" s="64" t="inlineStr">
        <is>
          <t xml:space="preserve">Total de colaboradores Presencial </t>
        </is>
      </c>
      <c r="D12">
        <f>COUNTIFS(D2:D9,$J$1)</f>
        <v/>
      </c>
      <c r="E12">
        <f>COUNTIFS(E2:E9,$J$1)</f>
        <v/>
      </c>
      <c r="F12">
        <f>COUNTIFS(F2:F9,$J$1)</f>
        <v/>
      </c>
      <c r="G12">
        <f>COUNTIFS(G2:G9,$J$1)</f>
        <v/>
      </c>
      <c r="H12">
        <f>COUNTIFS(H2:H9,$J$1)</f>
        <v/>
      </c>
      <c r="I12" s="62" t="n"/>
    </row>
    <row r="13" ht="30.75" customHeight="1" s="7" thickBot="1">
      <c r="A13" s="65" t="n"/>
      <c r="B13" s="66" t="n"/>
      <c r="C13" s="66" t="n"/>
      <c r="D13" s="72" t="inlineStr">
        <is>
          <t>SEGUNDA-FEIRA</t>
        </is>
      </c>
      <c r="E13" s="72" t="inlineStr">
        <is>
          <t>TERÇA-FEIRA</t>
        </is>
      </c>
      <c r="F13" s="72" t="inlineStr">
        <is>
          <t>QUARTA-FEIRA</t>
        </is>
      </c>
      <c r="G13" s="72" t="inlineStr">
        <is>
          <t>QUINTA-FEIRA</t>
        </is>
      </c>
      <c r="H13" s="72" t="inlineStr">
        <is>
          <t>SEXTA-FEIRA</t>
        </is>
      </c>
      <c r="I13" s="67" t="n"/>
    </row>
    <row r="15">
      <c r="C15" t="inlineStr">
        <is>
          <t>Motorista EXECUTIVO</t>
        </is>
      </c>
    </row>
    <row r="16">
      <c r="B16" t="inlineStr">
        <is>
          <t>Turno A</t>
        </is>
      </c>
      <c r="C16" t="inlineStr">
        <is>
          <t xml:space="preserve">Henrique </t>
        </is>
      </c>
    </row>
    <row r="17">
      <c r="B17" t="inlineStr">
        <is>
          <t xml:space="preserve">Turno C </t>
        </is>
      </c>
      <c r="C17" t="inlineStr">
        <is>
          <t xml:space="preserve">Feliciano </t>
        </is>
      </c>
    </row>
  </sheetData>
  <conditionalFormatting sqref="D2:E2">
    <cfRule type="containsText" priority="42" operator="containsText" dxfId="0" text="Home Office">
      <formula>NOT(ISERROR(SEARCH("Home Office",D2)))</formula>
    </cfRule>
  </conditionalFormatting>
  <conditionalFormatting sqref="F2:H2">
    <cfRule type="containsText" priority="41" operator="containsText" dxfId="0" text="Home Office">
      <formula>NOT(ISERROR(SEARCH("Home Office",F2)))</formula>
    </cfRule>
  </conditionalFormatting>
  <conditionalFormatting sqref="F4">
    <cfRule type="containsText" priority="40" operator="containsText" dxfId="0" text="Home Office">
      <formula>NOT(ISERROR(SEARCH("Home Office",F4)))</formula>
    </cfRule>
  </conditionalFormatting>
  <conditionalFormatting sqref="D9:H9">
    <cfRule type="containsText" priority="32" operator="containsText" dxfId="0" text="Home Office">
      <formula>NOT(ISERROR(SEARCH("Home Office",D9)))</formula>
    </cfRule>
  </conditionalFormatting>
  <conditionalFormatting sqref="J1">
    <cfRule type="containsText" priority="30" operator="containsText" dxfId="0" text="Home Office">
      <formula>NOT(ISERROR(SEARCH("Home Office",J1)))</formula>
    </cfRule>
  </conditionalFormatting>
  <conditionalFormatting sqref="G5:G6">
    <cfRule type="containsText" priority="26" operator="containsText" dxfId="0" text="Home Office">
      <formula>NOT(ISERROR(SEARCH("Home Office",G5)))</formula>
    </cfRule>
  </conditionalFormatting>
  <conditionalFormatting sqref="G7">
    <cfRule type="containsText" priority="23" operator="containsText" dxfId="0" text="Home Office">
      <formula>NOT(ISERROR(SEARCH("Home Office",G7)))</formula>
    </cfRule>
  </conditionalFormatting>
  <conditionalFormatting sqref="D5:D6">
    <cfRule type="containsText" priority="15" operator="containsText" dxfId="0" text="Home Office">
      <formula>NOT(ISERROR(SEARCH("Home Office",D5)))</formula>
    </cfRule>
  </conditionalFormatting>
  <conditionalFormatting sqref="E5:E6">
    <cfRule type="containsText" priority="14" operator="containsText" dxfId="0" text="Home Office">
      <formula>NOT(ISERROR(SEARCH("Home Office",E5)))</formula>
    </cfRule>
  </conditionalFormatting>
  <conditionalFormatting sqref="F5:F6">
    <cfRule type="containsText" priority="13" operator="containsText" dxfId="0" text="Home Office">
      <formula>NOT(ISERROR(SEARCH("Home Office",F5)))</formula>
    </cfRule>
  </conditionalFormatting>
  <conditionalFormatting sqref="H5:H6">
    <cfRule type="containsText" priority="12" operator="containsText" dxfId="0" text="Home Office">
      <formula>NOT(ISERROR(SEARCH("Home Office",H5)))</formula>
    </cfRule>
  </conditionalFormatting>
  <conditionalFormatting sqref="F3">
    <cfRule type="containsText" priority="8" operator="containsText" dxfId="0" text="Home Office">
      <formula>NOT(ISERROR(SEARCH("Home Office",F3)))</formula>
    </cfRule>
  </conditionalFormatting>
  <conditionalFormatting sqref="E8">
    <cfRule type="containsText" priority="7" operator="containsText" dxfId="0" text="Home Office">
      <formula>NOT(ISERROR(SEARCH("Home Office",E8)))</formula>
    </cfRule>
  </conditionalFormatting>
  <conditionalFormatting sqref="F8">
    <cfRule type="containsText" priority="6" operator="containsText" dxfId="0" text="Home Office">
      <formula>NOT(ISERROR(SEARCH("Home Office",F8)))</formula>
    </cfRule>
  </conditionalFormatting>
  <conditionalFormatting sqref="G8">
    <cfRule type="containsText" priority="5" operator="containsText" dxfId="0" text="Home Office">
      <formula>NOT(ISERROR(SEARCH("Home Office",G8)))</formula>
    </cfRule>
  </conditionalFormatting>
  <conditionalFormatting sqref="H8">
    <cfRule type="containsText" priority="4" operator="containsText" dxfId="0" text="Home Office">
      <formula>NOT(ISERROR(SEARCH("Home Office",H8)))</formula>
    </cfRule>
  </conditionalFormatting>
  <conditionalFormatting sqref="D8">
    <cfRule type="containsText" priority="3" operator="containsText" dxfId="0" text="Home Office">
      <formula>NOT(ISERROR(SEARCH("Home Office",D8)))</formula>
    </cfRule>
  </conditionalFormatting>
  <conditionalFormatting sqref="D3">
    <cfRule type="containsText" priority="2" operator="containsText" dxfId="0" text="Home Office">
      <formula>NOT(ISERROR(SEARCH("Home Office",D3)))</formula>
    </cfRule>
  </conditionalFormatting>
  <conditionalFormatting sqref="E3">
    <cfRule type="containsText" priority="1" operator="containsText" dxfId="0" text="Home Office">
      <formula>NOT(ISERROR(SEARCH("Home Office",E3)))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8" sqref="A28"/>
    </sheetView>
  </sheetViews>
  <sheetFormatPr baseColWidth="8" defaultColWidth="9.1328125" defaultRowHeight="14.25"/>
  <cols>
    <col width="9.1328125" customWidth="1" style="7" min="1" max="2"/>
    <col width="36.59765625" bestFit="1" customWidth="1" style="7" min="3" max="3"/>
    <col width="17.59765625" customWidth="1" style="7" min="4" max="4"/>
    <col width="12.1328125" bestFit="1" customWidth="1" style="7" min="5" max="5"/>
    <col width="17.3984375" customWidth="1" style="7" min="6" max="6"/>
    <col width="17.265625" customWidth="1" style="7" min="7" max="7"/>
    <col width="12.1328125" bestFit="1" customWidth="1" style="7" min="8" max="8"/>
    <col width="9.1328125" customWidth="1" style="7" min="9" max="10"/>
    <col width="9.1328125" customWidth="1" style="7" min="11" max="16384"/>
  </cols>
  <sheetData>
    <row r="1" ht="30" customHeight="1" s="7">
      <c r="A1" s="57" t="inlineStr">
        <is>
          <t>ROTA</t>
        </is>
      </c>
      <c r="B1" s="58" t="inlineStr">
        <is>
          <t>VEÍCULOS</t>
        </is>
      </c>
      <c r="C1" s="59" t="inlineStr">
        <is>
          <t>COLABORADOR</t>
        </is>
      </c>
      <c r="D1" s="59" t="inlineStr">
        <is>
          <t>SEGUNDA-FEIRA</t>
        </is>
      </c>
      <c r="E1" s="59" t="inlineStr">
        <is>
          <t>TERÇA-FEIRA</t>
        </is>
      </c>
      <c r="F1" s="59" t="inlineStr">
        <is>
          <t>QUARTA-FEIRA</t>
        </is>
      </c>
      <c r="G1" s="59" t="inlineStr">
        <is>
          <t>QUINTA-FEIRA</t>
        </is>
      </c>
      <c r="H1" s="59" t="inlineStr">
        <is>
          <t>SEXTA-FEIRA</t>
        </is>
      </c>
      <c r="I1" s="60" t="n"/>
      <c r="J1" s="71" t="inlineStr">
        <is>
          <t xml:space="preserve">Presencial </t>
        </is>
      </c>
    </row>
    <row r="2">
      <c r="A2" s="6" t="n">
        <v>2</v>
      </c>
      <c r="B2" s="6" t="inlineStr">
        <is>
          <t>SPIN</t>
        </is>
      </c>
      <c r="C2" t="inlineStr">
        <is>
          <t>Danilo Brunard Borges Andrade</t>
        </is>
      </c>
      <c r="D2" s="10" t="inlineStr">
        <is>
          <t xml:space="preserve">Presencial </t>
        </is>
      </c>
      <c r="E2" s="10" t="inlineStr">
        <is>
          <t xml:space="preserve">Presencial </t>
        </is>
      </c>
      <c r="F2" s="10" t="inlineStr">
        <is>
          <t xml:space="preserve">Presencial </t>
        </is>
      </c>
      <c r="G2" s="10" t="inlineStr">
        <is>
          <t xml:space="preserve">Presencial </t>
        </is>
      </c>
      <c r="H2" s="10" t="inlineStr">
        <is>
          <t>Home Office</t>
        </is>
      </c>
      <c r="I2" s="62" t="n"/>
    </row>
    <row r="3">
      <c r="A3" s="6" t="n">
        <v>2</v>
      </c>
      <c r="B3" s="6" t="inlineStr">
        <is>
          <t>SPIN</t>
        </is>
      </c>
      <c r="C3" t="inlineStr">
        <is>
          <t>Marcos Thullio Soares Batista</t>
        </is>
      </c>
      <c r="D3" s="10" t="inlineStr">
        <is>
          <t>Home Office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10" t="inlineStr">
        <is>
          <t>Home Office</t>
        </is>
      </c>
      <c r="H3" s="10" t="inlineStr">
        <is>
          <t xml:space="preserve">Presencial </t>
        </is>
      </c>
      <c r="I3" s="62" t="n"/>
    </row>
    <row r="4">
      <c r="A4" s="6" t="n">
        <v>2</v>
      </c>
      <c r="B4" s="6" t="inlineStr">
        <is>
          <t>SPIN</t>
        </is>
      </c>
      <c r="C4" t="inlineStr">
        <is>
          <t>Francisco Weliton Maciel Viana</t>
        </is>
      </c>
      <c r="D4" s="6" t="inlineStr">
        <is>
          <t>Home Office</t>
        </is>
      </c>
      <c r="E4" s="6" t="inlineStr">
        <is>
          <t>Home Office</t>
        </is>
      </c>
      <c r="F4" s="6" t="inlineStr">
        <is>
          <t>Home Office</t>
        </is>
      </c>
      <c r="G4" s="10" t="inlineStr">
        <is>
          <t xml:space="preserve">Presencial </t>
        </is>
      </c>
      <c r="H4" s="6" t="inlineStr">
        <is>
          <t>Home Office</t>
        </is>
      </c>
      <c r="I4" s="62" t="n"/>
    </row>
    <row r="5">
      <c r="A5" s="6" t="n">
        <v>2</v>
      </c>
      <c r="B5" s="6" t="inlineStr">
        <is>
          <t>SPIN</t>
        </is>
      </c>
      <c r="C5" t="inlineStr">
        <is>
          <t>Luchiana Fernandes Silva Esteller</t>
        </is>
      </c>
      <c r="D5" s="10" t="inlineStr">
        <is>
          <t xml:space="preserve">Presencial </t>
        </is>
      </c>
      <c r="E5" s="6" t="inlineStr">
        <is>
          <t>Home Office</t>
        </is>
      </c>
      <c r="F5" s="10" t="inlineStr">
        <is>
          <t xml:space="preserve">Presencial </t>
        </is>
      </c>
      <c r="G5" s="6" t="inlineStr">
        <is>
          <t>Home Office</t>
        </is>
      </c>
      <c r="H5" s="6" t="inlineStr">
        <is>
          <t>Home Office</t>
        </is>
      </c>
      <c r="I5" s="62" t="n"/>
    </row>
    <row r="6">
      <c r="A6" s="6" t="n">
        <v>2</v>
      </c>
      <c r="B6" s="6" t="inlineStr">
        <is>
          <t>SPIN</t>
        </is>
      </c>
      <c r="C6" t="inlineStr">
        <is>
          <t>Leandro Cantalogo</t>
        </is>
      </c>
      <c r="D6" s="10" t="inlineStr">
        <is>
          <t xml:space="preserve">Presencial </t>
        </is>
      </c>
      <c r="E6" s="6" t="inlineStr">
        <is>
          <t>Home Office</t>
        </is>
      </c>
      <c r="F6" s="6" t="inlineStr">
        <is>
          <t>Home Office</t>
        </is>
      </c>
      <c r="G6" s="10" t="inlineStr">
        <is>
          <t xml:space="preserve">Presencial </t>
        </is>
      </c>
      <c r="H6" s="6" t="inlineStr">
        <is>
          <t>Home Office</t>
        </is>
      </c>
      <c r="I6" s="62" t="n"/>
    </row>
    <row r="7">
      <c r="A7" s="6" t="n">
        <v>2</v>
      </c>
      <c r="B7" s="6" t="inlineStr">
        <is>
          <t>SPIN</t>
        </is>
      </c>
      <c r="C7" t="inlineStr">
        <is>
          <t xml:space="preserve">Grazielle Btista da Silva Dafico Ramos </t>
        </is>
      </c>
      <c r="D7" s="10" t="inlineStr">
        <is>
          <t xml:space="preserve">Presencial </t>
        </is>
      </c>
      <c r="E7" s="10" t="inlineStr">
        <is>
          <t xml:space="preserve">Presencial </t>
        </is>
      </c>
      <c r="F7" s="10" t="inlineStr">
        <is>
          <t xml:space="preserve">Presencial </t>
        </is>
      </c>
      <c r="G7" s="10" t="inlineStr">
        <is>
          <t xml:space="preserve">Presencial </t>
        </is>
      </c>
      <c r="H7" s="10" t="inlineStr">
        <is>
          <t>Home Office</t>
        </is>
      </c>
      <c r="I7" s="62" t="n"/>
    </row>
    <row r="8">
      <c r="A8" s="6" t="n">
        <v>2</v>
      </c>
      <c r="B8" s="6" t="inlineStr">
        <is>
          <t>SPIN</t>
        </is>
      </c>
      <c r="C8" t="inlineStr">
        <is>
          <t>Valdeci Moura da Silva</t>
        </is>
      </c>
      <c r="D8" s="10" t="inlineStr">
        <is>
          <t>Home Office</t>
        </is>
      </c>
      <c r="E8" s="6" t="inlineStr">
        <is>
          <t>Home Office</t>
        </is>
      </c>
      <c r="F8" s="10" t="inlineStr">
        <is>
          <t xml:space="preserve">Presencial </t>
        </is>
      </c>
      <c r="G8" s="6" t="inlineStr">
        <is>
          <t>Home Office</t>
        </is>
      </c>
      <c r="H8" s="6" t="inlineStr">
        <is>
          <t>Home Office</t>
        </is>
      </c>
      <c r="I8" s="62" t="n"/>
    </row>
    <row r="9">
      <c r="A9" s="6" t="n">
        <v>2</v>
      </c>
      <c r="B9" s="6" t="inlineStr">
        <is>
          <t>SPIN</t>
        </is>
      </c>
      <c r="C9" t="inlineStr">
        <is>
          <t xml:space="preserve">Luana Patricia </t>
        </is>
      </c>
      <c r="D9" s="10" t="inlineStr">
        <is>
          <t xml:space="preserve">Presencial </t>
        </is>
      </c>
      <c r="E9" s="6" t="inlineStr">
        <is>
          <t>Home Office</t>
        </is>
      </c>
      <c r="F9" s="6" t="inlineStr">
        <is>
          <t>Home Office</t>
        </is>
      </c>
      <c r="G9" s="6" t="inlineStr">
        <is>
          <t>Home Office</t>
        </is>
      </c>
      <c r="H9" s="6" t="inlineStr">
        <is>
          <t>Home Office</t>
        </is>
      </c>
      <c r="I9" s="62" t="n"/>
    </row>
    <row r="10">
      <c r="A10" s="6" t="n"/>
      <c r="B10" s="6" t="n"/>
      <c r="C10" s="64" t="inlineStr">
        <is>
          <t xml:space="preserve">Motorista </t>
        </is>
      </c>
      <c r="D10" s="10" t="inlineStr">
        <is>
          <t xml:space="preserve">Presencial </t>
        </is>
      </c>
      <c r="E10" s="10" t="inlineStr">
        <is>
          <t xml:space="preserve">Presencial </t>
        </is>
      </c>
      <c r="F10" s="10" t="inlineStr">
        <is>
          <t xml:space="preserve">Presencial </t>
        </is>
      </c>
      <c r="G10" s="10" t="inlineStr">
        <is>
          <t xml:space="preserve">Presencial </t>
        </is>
      </c>
      <c r="H10" s="10" t="inlineStr">
        <is>
          <t xml:space="preserve">Presencial </t>
        </is>
      </c>
      <c r="I10" s="62" t="n"/>
    </row>
    <row r="11">
      <c r="A11" s="63" t="n"/>
      <c r="B11" s="6" t="inlineStr">
        <is>
          <t>PX 1683</t>
        </is>
      </c>
      <c r="I11" s="62" t="n"/>
    </row>
    <row r="12">
      <c r="A12" s="63" t="n"/>
      <c r="I12" s="62" t="n"/>
    </row>
    <row r="13" ht="15.75" customHeight="1" s="7" thickBot="1">
      <c r="A13" s="63" t="n"/>
      <c r="C13" s="64" t="inlineStr">
        <is>
          <t xml:space="preserve">Total de colaboradores Presencial </t>
        </is>
      </c>
      <c r="D13">
        <f>COUNTIFS(D2:D10,$J$1)</f>
        <v/>
      </c>
      <c r="E13">
        <f>COUNTIFS(E2:E10,$J$1)</f>
        <v/>
      </c>
      <c r="F13">
        <f>COUNTIFS(F2:F10,$J$1)</f>
        <v/>
      </c>
      <c r="G13">
        <f>COUNTIFS(G2:G10,$J$1)</f>
        <v/>
      </c>
      <c r="H13">
        <f>COUNTIFS(H2:H10,$J$1)</f>
        <v/>
      </c>
      <c r="I13" s="62" t="n"/>
    </row>
    <row r="14" ht="30.75" customHeight="1" s="7" thickBot="1">
      <c r="A14" s="65" t="n"/>
      <c r="B14" s="66" t="n"/>
      <c r="C14" s="66" t="n"/>
      <c r="D14" s="59" t="inlineStr">
        <is>
          <t>SEGUNDA-FEIRA</t>
        </is>
      </c>
      <c r="E14" s="59" t="inlineStr">
        <is>
          <t>TERÇA-FEIRA</t>
        </is>
      </c>
      <c r="F14" s="59" t="inlineStr">
        <is>
          <t>QUARTA-FEIRA</t>
        </is>
      </c>
      <c r="G14" s="59" t="inlineStr">
        <is>
          <t>QUINTA-FEIRA</t>
        </is>
      </c>
      <c r="H14" s="59" t="inlineStr">
        <is>
          <t>SEXTA-FEIRA</t>
        </is>
      </c>
      <c r="I14" s="67" t="n"/>
    </row>
    <row r="16">
      <c r="C16" t="inlineStr">
        <is>
          <t>Motorista EXECUTIVO</t>
        </is>
      </c>
    </row>
    <row r="17">
      <c r="B17" t="inlineStr">
        <is>
          <t>Turno A</t>
        </is>
      </c>
      <c r="C17" t="inlineStr">
        <is>
          <t>Paulo Loreno</t>
        </is>
      </c>
    </row>
    <row r="18">
      <c r="B18" t="inlineStr">
        <is>
          <t xml:space="preserve">Turno C </t>
        </is>
      </c>
      <c r="C18" t="inlineStr">
        <is>
          <t>Mirclenio</t>
        </is>
      </c>
    </row>
  </sheetData>
  <conditionalFormatting sqref="G4">
    <cfRule type="containsText" priority="16" operator="containsText" dxfId="0" text="Home Office">
      <formula>NOT(ISERROR(SEARCH("Home Office",G4)))</formula>
    </cfRule>
  </conditionalFormatting>
  <conditionalFormatting sqref="D6">
    <cfRule type="containsText" priority="14" operator="containsText" dxfId="0" text="Home Office">
      <formula>NOT(ISERROR(SEARCH("Home Office",D6)))</formula>
    </cfRule>
  </conditionalFormatting>
  <conditionalFormatting sqref="G6">
    <cfRule type="containsText" priority="13" operator="containsText" dxfId="0" text="Home Office">
      <formula>NOT(ISERROR(SEARCH("Home Office",G6)))</formula>
    </cfRule>
  </conditionalFormatting>
  <conditionalFormatting sqref="D10:H10">
    <cfRule type="containsText" priority="11" operator="containsText" dxfId="0" text="Home Office">
      <formula>NOT(ISERROR(SEARCH("Home Office",D10)))</formula>
    </cfRule>
  </conditionalFormatting>
  <conditionalFormatting sqref="E2:H2">
    <cfRule type="containsText" priority="24" operator="containsText" dxfId="0" text="Home Office">
      <formula>NOT(ISERROR(SEARCH("Home Office",E2)))</formula>
    </cfRule>
  </conditionalFormatting>
  <conditionalFormatting sqref="J1">
    <cfRule type="containsText" priority="26" operator="containsText" dxfId="0" text="Home Office">
      <formula>NOT(ISERROR(SEARCH("Home Office",J1)))</formula>
    </cfRule>
  </conditionalFormatting>
  <conditionalFormatting sqref="D3:H3">
    <cfRule type="containsText" priority="19" operator="containsText" dxfId="0" text="Home Office">
      <formula>NOT(ISERROR(SEARCH("Home Office",D3)))</formula>
    </cfRule>
  </conditionalFormatting>
  <conditionalFormatting sqref="D5">
    <cfRule type="containsText" priority="18" operator="containsText" dxfId="0" text="Home Office">
      <formula>NOT(ISERROR(SEARCH("Home Office",D5)))</formula>
    </cfRule>
  </conditionalFormatting>
  <conditionalFormatting sqref="F5">
    <cfRule type="containsText" priority="17" operator="containsText" dxfId="0" text="Home Office">
      <formula>NOT(ISERROR(SEARCH("Home Office",F5)))</formula>
    </cfRule>
  </conditionalFormatting>
  <conditionalFormatting sqref="D7:H7">
    <cfRule type="containsText" priority="7" operator="containsText" dxfId="0" text="Home Office">
      <formula>NOT(ISERROR(SEARCH("Home Office",D7)))</formula>
    </cfRule>
  </conditionalFormatting>
  <conditionalFormatting sqref="D8:D9">
    <cfRule type="containsText" priority="4" operator="containsText" dxfId="0" text="Home Office">
      <formula>NOT(ISERROR(SEARCH("Home Office",D8)))</formula>
    </cfRule>
  </conditionalFormatting>
  <conditionalFormatting sqref="D2">
    <cfRule type="containsText" priority="2" operator="containsText" dxfId="0" text="Home Office">
      <formula>NOT(ISERROR(SEARCH("Home Office",D2)))</formula>
    </cfRule>
  </conditionalFormatting>
  <conditionalFormatting sqref="F8">
    <cfRule type="containsText" priority="1" operator="containsText" dxfId="0" text="Home Office">
      <formula>NOT(ISERROR(SEARCH("Home Office",F8)))</formula>
    </cfRule>
  </conditionalFormatting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C18" sqref="C18"/>
    </sheetView>
  </sheetViews>
  <sheetFormatPr baseColWidth="8" defaultColWidth="9.1328125" defaultRowHeight="14.25"/>
  <cols>
    <col width="9.1328125" customWidth="1" style="7" min="1" max="2"/>
    <col width="36.59765625" bestFit="1" customWidth="1" style="7" min="3" max="3"/>
    <col width="16.3984375" customWidth="1" style="7" min="4" max="4"/>
    <col width="12.1328125" bestFit="1" customWidth="1" style="7" min="5" max="5"/>
    <col width="16.265625" customWidth="1" style="7" min="6" max="6"/>
    <col width="14.86328125" customWidth="1" style="7" min="7" max="7"/>
    <col width="12.1328125" bestFit="1" customWidth="1" style="7" min="8" max="8"/>
    <col width="9.1328125" customWidth="1" style="7" min="9" max="10"/>
    <col width="9.1328125" customWidth="1" style="7" min="11" max="16384"/>
  </cols>
  <sheetData>
    <row r="1" ht="30" customHeight="1" s="7">
      <c r="A1" s="57" t="inlineStr">
        <is>
          <t>ROTA</t>
        </is>
      </c>
      <c r="B1" s="58" t="inlineStr">
        <is>
          <t>VEÍCULOS</t>
        </is>
      </c>
      <c r="C1" s="59" t="inlineStr">
        <is>
          <t>COLABORADOR</t>
        </is>
      </c>
      <c r="D1" s="59" t="inlineStr">
        <is>
          <t>SEGUNDA-FEIRA</t>
        </is>
      </c>
      <c r="E1" s="59" t="inlineStr">
        <is>
          <t>TERÇA-FEIRA</t>
        </is>
      </c>
      <c r="F1" s="59" t="inlineStr">
        <is>
          <t>QUARTA-FEIRA</t>
        </is>
      </c>
      <c r="G1" s="59" t="inlineStr">
        <is>
          <t>QUINTA-FEIRA</t>
        </is>
      </c>
      <c r="H1" s="59" t="inlineStr">
        <is>
          <t>SEXTA-FEIRA</t>
        </is>
      </c>
      <c r="I1" s="60" t="n"/>
      <c r="J1" s="71" t="inlineStr">
        <is>
          <t xml:space="preserve">Presencial </t>
        </is>
      </c>
    </row>
    <row r="2">
      <c r="A2" s="6" t="n">
        <v>3</v>
      </c>
      <c r="B2" s="6" t="inlineStr">
        <is>
          <t>SPIN</t>
        </is>
      </c>
      <c r="C2" t="inlineStr">
        <is>
          <t>Emilly Samara Muniz Bezerra</t>
        </is>
      </c>
      <c r="D2" s="10" t="inlineStr">
        <is>
          <t xml:space="preserve">Presencial </t>
        </is>
      </c>
      <c r="E2" s="10" t="inlineStr">
        <is>
          <t xml:space="preserve">Presencial </t>
        </is>
      </c>
      <c r="F2" s="10" t="inlineStr">
        <is>
          <t xml:space="preserve">Presencial </t>
        </is>
      </c>
      <c r="G2" s="10" t="inlineStr">
        <is>
          <t xml:space="preserve">Presencial </t>
        </is>
      </c>
      <c r="H2" s="10" t="inlineStr">
        <is>
          <t xml:space="preserve">Presencial </t>
        </is>
      </c>
      <c r="I2" s="62" t="n"/>
    </row>
    <row r="3">
      <c r="A3" s="6" t="n">
        <v>3</v>
      </c>
      <c r="B3" s="6" t="inlineStr">
        <is>
          <t>SPIN</t>
        </is>
      </c>
      <c r="C3" t="inlineStr">
        <is>
          <t>Rosimar Carioca Lopes</t>
        </is>
      </c>
      <c r="D3" s="10" t="inlineStr">
        <is>
          <t xml:space="preserve">Presencial 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10" t="inlineStr">
        <is>
          <t xml:space="preserve">Presencial </t>
        </is>
      </c>
      <c r="H3" s="10" t="inlineStr">
        <is>
          <t xml:space="preserve">Presencial </t>
        </is>
      </c>
      <c r="I3" s="62" t="n"/>
    </row>
    <row r="4">
      <c r="A4" s="6" t="n">
        <v>3</v>
      </c>
      <c r="B4" s="6" t="inlineStr">
        <is>
          <t>SPIN</t>
        </is>
      </c>
      <c r="C4" t="inlineStr">
        <is>
          <t>Pablo Soeiro Arouche</t>
        </is>
      </c>
      <c r="D4" s="10" t="inlineStr">
        <is>
          <t xml:space="preserve">Presencial </t>
        </is>
      </c>
      <c r="E4" s="10" t="inlineStr">
        <is>
          <t xml:space="preserve">Presencial </t>
        </is>
      </c>
      <c r="F4" s="10" t="inlineStr">
        <is>
          <t xml:space="preserve">Presencial </t>
        </is>
      </c>
      <c r="G4" s="10" t="inlineStr">
        <is>
          <t xml:space="preserve">Presencial </t>
        </is>
      </c>
      <c r="H4" s="10" t="inlineStr">
        <is>
          <t xml:space="preserve">Presencial </t>
        </is>
      </c>
      <c r="I4" s="62" t="n"/>
    </row>
    <row r="5">
      <c r="A5" s="6" t="n">
        <v>3</v>
      </c>
      <c r="B5" s="6" t="inlineStr">
        <is>
          <t>SPIN</t>
        </is>
      </c>
      <c r="C5" t="inlineStr">
        <is>
          <t>Eris Rodrigues Arantes</t>
        </is>
      </c>
      <c r="D5" s="10" t="inlineStr">
        <is>
          <t xml:space="preserve">Presencial </t>
        </is>
      </c>
      <c r="E5" s="10" t="inlineStr">
        <is>
          <t xml:space="preserve">Presencial </t>
        </is>
      </c>
      <c r="F5" s="10" t="inlineStr">
        <is>
          <t xml:space="preserve">Presencial </t>
        </is>
      </c>
      <c r="G5" s="10" t="inlineStr">
        <is>
          <t xml:space="preserve">Presencial </t>
        </is>
      </c>
      <c r="H5" s="10" t="inlineStr">
        <is>
          <t xml:space="preserve">Presencial </t>
        </is>
      </c>
      <c r="I5" s="62" t="n"/>
    </row>
    <row r="6">
      <c r="A6" s="6" t="n">
        <v>3</v>
      </c>
      <c r="B6" s="6" t="inlineStr">
        <is>
          <t>SPIN</t>
        </is>
      </c>
      <c r="C6" t="inlineStr">
        <is>
          <t>Ed Carlos Alfredo</t>
        </is>
      </c>
      <c r="D6" s="10" t="inlineStr">
        <is>
          <t xml:space="preserve">Presencial </t>
        </is>
      </c>
      <c r="E6" s="10" t="inlineStr">
        <is>
          <t xml:space="preserve">Presencial </t>
        </is>
      </c>
      <c r="F6" s="10" t="inlineStr">
        <is>
          <t xml:space="preserve">Presencial </t>
        </is>
      </c>
      <c r="G6" s="10" t="inlineStr">
        <is>
          <t xml:space="preserve">Presencial </t>
        </is>
      </c>
      <c r="H6" s="10" t="inlineStr">
        <is>
          <t xml:space="preserve">Presencial </t>
        </is>
      </c>
      <c r="I6" s="62" t="n"/>
    </row>
    <row r="7">
      <c r="A7" s="6" t="n">
        <v>3</v>
      </c>
      <c r="B7" s="6" t="inlineStr">
        <is>
          <t>SPIN</t>
        </is>
      </c>
      <c r="C7" t="inlineStr">
        <is>
          <t xml:space="preserve">Marco Túlio Oliveira Souto </t>
        </is>
      </c>
      <c r="D7" s="10" t="inlineStr">
        <is>
          <t xml:space="preserve">Presencial </t>
        </is>
      </c>
      <c r="E7" s="10" t="inlineStr">
        <is>
          <t xml:space="preserve">Presencial </t>
        </is>
      </c>
      <c r="F7" s="10" t="inlineStr">
        <is>
          <t xml:space="preserve">Presencial </t>
        </is>
      </c>
      <c r="G7" s="10" t="inlineStr">
        <is>
          <t xml:space="preserve">Presencial </t>
        </is>
      </c>
      <c r="H7" s="10" t="inlineStr">
        <is>
          <t xml:space="preserve">Presencial </t>
        </is>
      </c>
      <c r="I7" s="62" t="n"/>
    </row>
    <row r="8">
      <c r="A8" s="6" t="n"/>
      <c r="B8" s="6" t="n"/>
      <c r="C8" s="64" t="inlineStr">
        <is>
          <t xml:space="preserve">Motorista </t>
        </is>
      </c>
      <c r="D8" s="10" t="inlineStr">
        <is>
          <t xml:space="preserve">Presencial </t>
        </is>
      </c>
      <c r="E8" s="10" t="inlineStr">
        <is>
          <t xml:space="preserve">Presencial </t>
        </is>
      </c>
      <c r="F8" s="10" t="inlineStr">
        <is>
          <t xml:space="preserve">Presencial </t>
        </is>
      </c>
      <c r="G8" s="10" t="inlineStr">
        <is>
          <t xml:space="preserve">Presencial </t>
        </is>
      </c>
      <c r="H8" s="10" t="inlineStr">
        <is>
          <t xml:space="preserve">Presencial </t>
        </is>
      </c>
      <c r="I8" s="62" t="n"/>
    </row>
    <row r="9">
      <c r="A9" s="63" t="n"/>
      <c r="B9" s="6" t="inlineStr">
        <is>
          <t>PX 1722</t>
        </is>
      </c>
      <c r="I9" s="62" t="n"/>
    </row>
    <row r="10" ht="15.75" customHeight="1" s="7" thickBot="1">
      <c r="A10" s="63" t="n"/>
      <c r="I10" s="62" t="n"/>
    </row>
    <row r="11" ht="15.75" customHeight="1" s="7" thickBot="1">
      <c r="A11" s="63" t="n"/>
      <c r="C11" s="64" t="inlineStr">
        <is>
          <t xml:space="preserve">Total de colaboradores Presencial </t>
        </is>
      </c>
      <c r="D11" s="68">
        <f>COUNTIFS(D2:D8,$J$1)</f>
        <v/>
      </c>
      <c r="E11" s="69">
        <f>COUNTIFS(E2:E8,$J$1)</f>
        <v/>
      </c>
      <c r="F11" s="69">
        <f>COUNTIFS(F2:F8,$J$1)</f>
        <v/>
      </c>
      <c r="G11" s="69">
        <f>COUNTIFS(G2:G8,$J$1)</f>
        <v/>
      </c>
      <c r="H11" s="70">
        <f>COUNTIFS(H2:H8,$J$1)</f>
        <v/>
      </c>
      <c r="I11" s="62" t="n"/>
    </row>
    <row r="12" ht="30.75" customHeight="1" s="7" thickBot="1">
      <c r="A12" s="65" t="n"/>
      <c r="B12" s="66" t="n"/>
      <c r="C12" s="66" t="n"/>
      <c r="D12" s="59" t="inlineStr">
        <is>
          <t>SEGUNDA-FEIRA</t>
        </is>
      </c>
      <c r="E12" s="59" t="inlineStr">
        <is>
          <t>TERÇA-FEIRA</t>
        </is>
      </c>
      <c r="F12" s="59" t="inlineStr">
        <is>
          <t>QUARTA-FEIRA</t>
        </is>
      </c>
      <c r="G12" s="59" t="inlineStr">
        <is>
          <t>QUINTA-FEIRA</t>
        </is>
      </c>
      <c r="H12" s="59" t="inlineStr">
        <is>
          <t>SEXTA-FEIRA</t>
        </is>
      </c>
      <c r="I12" s="67" t="n"/>
    </row>
    <row r="14">
      <c r="C14" t="inlineStr">
        <is>
          <t>Motorista EXECUTIVO</t>
        </is>
      </c>
    </row>
    <row r="15">
      <c r="B15" t="inlineStr">
        <is>
          <t>Turno A</t>
        </is>
      </c>
      <c r="C15" t="inlineStr">
        <is>
          <t>Gilson</t>
        </is>
      </c>
    </row>
    <row r="16">
      <c r="B16" t="inlineStr">
        <is>
          <t xml:space="preserve">Turno C </t>
        </is>
      </c>
      <c r="C16" t="inlineStr">
        <is>
          <t xml:space="preserve">Carlos </t>
        </is>
      </c>
    </row>
  </sheetData>
  <autoFilter ref="A1:H32"/>
  <conditionalFormatting sqref="J1">
    <cfRule type="containsText" priority="20" operator="containsText" dxfId="0" text="Home Office">
      <formula>NOT(ISERROR(SEARCH("Home Office",J1)))</formula>
    </cfRule>
  </conditionalFormatting>
  <conditionalFormatting sqref="D2:H6">
    <cfRule type="containsText" priority="4" operator="containsText" dxfId="0" text="Home Office">
      <formula>NOT(ISERROR(SEARCH("Home Office",D2)))</formula>
    </cfRule>
  </conditionalFormatting>
  <conditionalFormatting sqref="D7">
    <cfRule type="containsText" priority="3" operator="containsText" dxfId="0" text="Home Office">
      <formula>NOT(ISERROR(SEARCH("Home Office",D7)))</formula>
    </cfRule>
  </conditionalFormatting>
  <conditionalFormatting sqref="E7:H7">
    <cfRule type="containsText" priority="2" operator="containsText" dxfId="0" text="Home Office">
      <formula>NOT(ISERROR(SEARCH("Home Office",E7)))</formula>
    </cfRule>
  </conditionalFormatting>
  <conditionalFormatting sqref="D8:H8">
    <cfRule type="containsText" priority="5" operator="containsText" dxfId="0" text="Home Office">
      <formula>NOT(ISERROR(SEARCH("Home Office",D8)))</formula>
    </cfRule>
  </conditionalFormatting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E16" sqref="E16"/>
    </sheetView>
  </sheetViews>
  <sheetFormatPr baseColWidth="8" defaultColWidth="9.1328125" defaultRowHeight="14.25"/>
  <cols>
    <col width="9.1328125" customWidth="1" style="7" min="1" max="2"/>
    <col width="36.59765625" bestFit="1" customWidth="1" style="7" min="3" max="3"/>
    <col width="18.265625" customWidth="1" style="7" min="4" max="4"/>
    <col width="12.1328125" bestFit="1" customWidth="1" style="7" min="5" max="5"/>
    <col width="17" customWidth="1" style="7" min="6" max="6"/>
    <col width="15.3984375" customWidth="1" style="7" min="7" max="7"/>
    <col width="12.1328125" bestFit="1" customWidth="1" style="7" min="8" max="8"/>
    <col width="9.1328125" customWidth="1" style="7" min="9" max="10"/>
    <col width="9.1328125" customWidth="1" style="7" min="11" max="16384"/>
  </cols>
  <sheetData>
    <row r="1" ht="30" customHeight="1" s="7">
      <c r="A1" s="57" t="inlineStr">
        <is>
          <t>ROTA</t>
        </is>
      </c>
      <c r="B1" s="58" t="inlineStr">
        <is>
          <t>VEÍCULOS</t>
        </is>
      </c>
      <c r="C1" s="59" t="inlineStr">
        <is>
          <t>COLABORADOR</t>
        </is>
      </c>
      <c r="D1" s="59" t="inlineStr">
        <is>
          <t>SEGUNDA-FEIRA</t>
        </is>
      </c>
      <c r="E1" s="59" t="inlineStr">
        <is>
          <t>TERÇA-FEIRA</t>
        </is>
      </c>
      <c r="F1" s="59" t="inlineStr">
        <is>
          <t>QUARTA-FEIRA</t>
        </is>
      </c>
      <c r="G1" s="59" t="inlineStr">
        <is>
          <t>QUINTA-FEIRA</t>
        </is>
      </c>
      <c r="H1" s="59" t="inlineStr">
        <is>
          <t>SEXTA-FEIRA</t>
        </is>
      </c>
      <c r="I1" s="60" t="n"/>
      <c r="J1" s="71" t="inlineStr">
        <is>
          <t xml:space="preserve">Presencial </t>
        </is>
      </c>
    </row>
    <row r="2">
      <c r="A2" s="10" t="n">
        <v>4</v>
      </c>
      <c r="B2" s="10" t="inlineStr">
        <is>
          <t>SPIN</t>
        </is>
      </c>
      <c r="C2" s="46" t="inlineStr">
        <is>
          <t>Alexandre dos Santos Paiva</t>
        </is>
      </c>
      <c r="D2" s="10" t="inlineStr">
        <is>
          <t>Home Office</t>
        </is>
      </c>
      <c r="E2" s="10" t="inlineStr">
        <is>
          <t>Home Office</t>
        </is>
      </c>
      <c r="F2" s="10" t="inlineStr">
        <is>
          <t xml:space="preserve">Presencial </t>
        </is>
      </c>
      <c r="G2" s="10" t="inlineStr">
        <is>
          <t>Home Office</t>
        </is>
      </c>
      <c r="H2" s="10" t="inlineStr">
        <is>
          <t xml:space="preserve">Presencial </t>
        </is>
      </c>
      <c r="I2" s="62" t="n"/>
    </row>
    <row r="3">
      <c r="A3" s="10" t="n">
        <v>4</v>
      </c>
      <c r="B3" s="10" t="inlineStr">
        <is>
          <t>SPIN</t>
        </is>
      </c>
      <c r="C3" s="46" t="inlineStr">
        <is>
          <t>Paulo Sergio da Silva</t>
        </is>
      </c>
      <c r="D3" s="10" t="inlineStr">
        <is>
          <t xml:space="preserve">Presencial 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10" t="inlineStr">
        <is>
          <t xml:space="preserve">Presencial </t>
        </is>
      </c>
      <c r="H3" s="10" t="inlineStr">
        <is>
          <t>Home Office</t>
        </is>
      </c>
      <c r="I3" s="62" t="n"/>
    </row>
    <row r="4">
      <c r="A4" s="10" t="n">
        <v>4</v>
      </c>
      <c r="B4" s="10" t="inlineStr">
        <is>
          <t>SPIN</t>
        </is>
      </c>
      <c r="C4" s="46" t="inlineStr">
        <is>
          <t>Gessimon Aprigio Alves</t>
        </is>
      </c>
      <c r="D4" s="10" t="inlineStr">
        <is>
          <t xml:space="preserve">Presencial </t>
        </is>
      </c>
      <c r="E4" s="10" t="inlineStr">
        <is>
          <t xml:space="preserve">Presencial </t>
        </is>
      </c>
      <c r="F4" s="10" t="inlineStr">
        <is>
          <t>Home Office</t>
        </is>
      </c>
      <c r="G4" s="10" t="inlineStr">
        <is>
          <t xml:space="preserve">Presencial </t>
        </is>
      </c>
      <c r="H4" s="10" t="inlineStr">
        <is>
          <t xml:space="preserve">Presencial </t>
        </is>
      </c>
      <c r="I4" s="62" t="n"/>
    </row>
    <row r="5">
      <c r="A5" s="10" t="n">
        <v>4</v>
      </c>
      <c r="B5" s="10" t="inlineStr">
        <is>
          <t>SPIN</t>
        </is>
      </c>
      <c r="C5" s="46" t="inlineStr">
        <is>
          <t>Evandro Martins Ferreira</t>
        </is>
      </c>
      <c r="D5" s="10" t="inlineStr">
        <is>
          <t xml:space="preserve">Presencial </t>
        </is>
      </c>
      <c r="E5" s="10" t="inlineStr">
        <is>
          <t xml:space="preserve">Presencial </t>
        </is>
      </c>
      <c r="F5" s="10" t="inlineStr">
        <is>
          <t xml:space="preserve">Presencial </t>
        </is>
      </c>
      <c r="G5" s="10" t="inlineStr">
        <is>
          <t xml:space="preserve">Presencial </t>
        </is>
      </c>
      <c r="H5" s="10" t="inlineStr">
        <is>
          <t xml:space="preserve">Presencial </t>
        </is>
      </c>
      <c r="I5" s="62" t="n"/>
    </row>
    <row r="6">
      <c r="A6" s="10" t="n">
        <v>4</v>
      </c>
      <c r="B6" s="10" t="inlineStr">
        <is>
          <t>SPIN</t>
        </is>
      </c>
      <c r="C6" s="46" t="inlineStr">
        <is>
          <t>Thaline Campanate Silva</t>
        </is>
      </c>
      <c r="D6" s="10" t="inlineStr">
        <is>
          <t>Home Office</t>
        </is>
      </c>
      <c r="E6" s="10" t="inlineStr">
        <is>
          <t>Home Office</t>
        </is>
      </c>
      <c r="F6" s="10" t="inlineStr">
        <is>
          <t>Home Office</t>
        </is>
      </c>
      <c r="G6" s="10" t="inlineStr">
        <is>
          <t>Home Office</t>
        </is>
      </c>
      <c r="H6" s="10" t="inlineStr">
        <is>
          <t>Home Office</t>
        </is>
      </c>
      <c r="I6" s="62" t="n"/>
    </row>
    <row r="7">
      <c r="A7" s="6" t="n"/>
      <c r="B7" s="6" t="n"/>
      <c r="C7" s="64" t="inlineStr">
        <is>
          <t xml:space="preserve">Motorista </t>
        </is>
      </c>
      <c r="D7" s="10" t="inlineStr">
        <is>
          <t xml:space="preserve">Presencial </t>
        </is>
      </c>
      <c r="E7" s="10" t="inlineStr">
        <is>
          <t xml:space="preserve">Presencial </t>
        </is>
      </c>
      <c r="F7" s="10" t="inlineStr">
        <is>
          <t xml:space="preserve">Presencial </t>
        </is>
      </c>
      <c r="G7" s="10" t="inlineStr">
        <is>
          <t xml:space="preserve">Presencial </t>
        </is>
      </c>
      <c r="H7" s="10" t="inlineStr">
        <is>
          <t xml:space="preserve">Presencial </t>
        </is>
      </c>
      <c r="I7" s="62" t="n"/>
    </row>
    <row r="8">
      <c r="A8" s="6" t="n"/>
      <c r="B8" s="6" t="n"/>
      <c r="C8" s="64" t="n"/>
      <c r="D8" s="10" t="n"/>
      <c r="E8" s="10" t="n"/>
      <c r="F8" s="10" t="n"/>
      <c r="G8" s="10" t="n"/>
      <c r="H8" s="10" t="n"/>
      <c r="I8" s="62" t="n"/>
    </row>
    <row r="9">
      <c r="A9" s="63" t="n"/>
      <c r="B9" s="6" t="inlineStr">
        <is>
          <t>PX 1675</t>
        </is>
      </c>
      <c r="I9" s="62" t="n"/>
    </row>
    <row r="10">
      <c r="A10" s="63" t="n"/>
      <c r="I10" s="62" t="n"/>
    </row>
    <row r="11" ht="15.75" customHeight="1" s="7" thickBot="1">
      <c r="A11" s="63" t="n"/>
      <c r="C11" s="64" t="inlineStr">
        <is>
          <t xml:space="preserve">Total de colaboradores Presencial </t>
        </is>
      </c>
      <c r="D11">
        <f>COUNTIFS(D2:D8,$J$1)</f>
        <v/>
      </c>
      <c r="E11">
        <f>COUNTIFS(E2:E8,$J$1)</f>
        <v/>
      </c>
      <c r="F11">
        <f>COUNTIFS(F2:F8,$J$1)</f>
        <v/>
      </c>
      <c r="G11">
        <f>COUNTIFS(G2:G8,$J$1)</f>
        <v/>
      </c>
      <c r="H11">
        <f>COUNTIFS(H2:H8,$J$1)</f>
        <v/>
      </c>
      <c r="I11" s="62" t="n"/>
    </row>
    <row r="12" ht="30.75" customHeight="1" s="7" thickBot="1">
      <c r="A12" s="65" t="n"/>
      <c r="B12" s="66" t="n"/>
      <c r="C12" s="66" t="n"/>
      <c r="D12" s="59" t="inlineStr">
        <is>
          <t>SEGUNDA-FEIRA</t>
        </is>
      </c>
      <c r="E12" s="59" t="inlineStr">
        <is>
          <t>TERÇA-FEIRA</t>
        </is>
      </c>
      <c r="F12" s="59" t="inlineStr">
        <is>
          <t>QUARTA-FEIRA</t>
        </is>
      </c>
      <c r="G12" s="59" t="inlineStr">
        <is>
          <t>QUINTA-FEIRA</t>
        </is>
      </c>
      <c r="H12" s="59" t="inlineStr">
        <is>
          <t>SEXTA-FEIRA</t>
        </is>
      </c>
      <c r="I12" s="67" t="n"/>
    </row>
    <row r="14">
      <c r="C14" t="inlineStr">
        <is>
          <t>Motorista EXECUTIVO</t>
        </is>
      </c>
    </row>
    <row r="15">
      <c r="B15" t="inlineStr">
        <is>
          <t>Turno A</t>
        </is>
      </c>
      <c r="C15" t="inlineStr">
        <is>
          <t>Walles</t>
        </is>
      </c>
    </row>
    <row r="16">
      <c r="B16" t="inlineStr">
        <is>
          <t xml:space="preserve">Turno C </t>
        </is>
      </c>
      <c r="C16" t="inlineStr">
        <is>
          <t>Marcos Adriano</t>
        </is>
      </c>
    </row>
  </sheetData>
  <conditionalFormatting sqref="F2 H2">
    <cfRule type="containsText" priority="28" operator="containsText" dxfId="0" text="Home Office">
      <formula>NOT(ISERROR(SEARCH("Home Office",F2)))</formula>
    </cfRule>
  </conditionalFormatting>
  <conditionalFormatting sqref="D4:E4 G4:H4">
    <cfRule type="containsText" priority="26" operator="containsText" dxfId="0" text="Home Office">
      <formula>NOT(ISERROR(SEARCH("Home Office",D4)))</formula>
    </cfRule>
  </conditionalFormatting>
  <conditionalFormatting sqref="D7:H7">
    <cfRule type="containsText" priority="23" operator="containsText" dxfId="0" text="Home Office">
      <formula>NOT(ISERROR(SEARCH("Home Office",D7)))</formula>
    </cfRule>
  </conditionalFormatting>
  <conditionalFormatting sqref="D8:H8">
    <cfRule type="containsText" priority="30" operator="containsText" dxfId="0" text="Home Office">
      <formula>NOT(ISERROR(SEARCH("Home Office",D8)))</formula>
    </cfRule>
  </conditionalFormatting>
  <conditionalFormatting sqref="J1">
    <cfRule type="containsText" priority="45" operator="containsText" dxfId="0" text="Home Office">
      <formula>NOT(ISERROR(SEARCH("Home Office",J1)))</formula>
    </cfRule>
  </conditionalFormatting>
  <conditionalFormatting sqref="E5">
    <cfRule type="containsText" priority="20" operator="containsText" dxfId="0" text="Home Office">
      <formula>NOT(ISERROR(SEARCH("Home Office",E5)))</formula>
    </cfRule>
  </conditionalFormatting>
  <conditionalFormatting sqref="H5">
    <cfRule type="containsText" priority="15" operator="containsText" dxfId="0" text="Home Office">
      <formula>NOT(ISERROR(SEARCH("Home Office",H5)))</formula>
    </cfRule>
  </conditionalFormatting>
  <conditionalFormatting sqref="D5">
    <cfRule type="containsText" priority="18" operator="containsText" dxfId="0" text="Home Office">
      <formula>NOT(ISERROR(SEARCH("Home Office",D5)))</formula>
    </cfRule>
  </conditionalFormatting>
  <conditionalFormatting sqref="F5">
    <cfRule type="containsText" priority="17" operator="containsText" dxfId="0" text="Home Office">
      <formula>NOT(ISERROR(SEARCH("Home Office",F5)))</formula>
    </cfRule>
  </conditionalFormatting>
  <conditionalFormatting sqref="G5">
    <cfRule type="containsText" priority="16" operator="containsText" dxfId="0" text="Home Office">
      <formula>NOT(ISERROR(SEARCH("Home Office",G5)))</formula>
    </cfRule>
  </conditionalFormatting>
  <conditionalFormatting sqref="D3:G3">
    <cfRule type="containsText" priority="2" operator="containsText" dxfId="0" text="Home Office">
      <formula>NOT(ISERROR(SEARCH("Home Office",D3)))</formula>
    </cfRule>
  </conditionalFormatting>
  <pageMargins left="0.511811024" right="0.511811024" top="0.787401575" bottom="0.787401575" header="0.31496062" footer="0.3149606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H11" sqref="H11"/>
    </sheetView>
  </sheetViews>
  <sheetFormatPr baseColWidth="8" defaultColWidth="9.1328125" defaultRowHeight="14.25"/>
  <cols>
    <col width="9.1328125" customWidth="1" style="7" min="1" max="2"/>
    <col width="36.59765625" bestFit="1" customWidth="1" style="7" min="3" max="3"/>
    <col width="16.1328125" customWidth="1" style="7" min="4" max="4"/>
    <col width="12.1328125" bestFit="1" customWidth="1" style="7" min="5" max="5"/>
    <col width="16.59765625" customWidth="1" style="7" min="6" max="6"/>
    <col width="15.3984375" customWidth="1" style="7" min="7" max="7"/>
    <col width="12.1328125" bestFit="1" customWidth="1" style="7" min="8" max="8"/>
    <col width="9.1328125" customWidth="1" style="7" min="9" max="10"/>
    <col width="9.1328125" customWidth="1" style="7" min="11" max="16384"/>
  </cols>
  <sheetData>
    <row r="1" ht="30" customHeight="1" s="7">
      <c r="A1" s="57" t="inlineStr">
        <is>
          <t>ROTA</t>
        </is>
      </c>
      <c r="B1" s="58" t="inlineStr">
        <is>
          <t>VEÍCULOS</t>
        </is>
      </c>
      <c r="C1" s="59" t="inlineStr">
        <is>
          <t>COLABORADOR</t>
        </is>
      </c>
      <c r="D1" s="59" t="inlineStr">
        <is>
          <t>SEGUNDA-FEIRA</t>
        </is>
      </c>
      <c r="E1" s="59" t="inlineStr">
        <is>
          <t>TERÇA-FEIRA</t>
        </is>
      </c>
      <c r="F1" s="59" t="inlineStr">
        <is>
          <t>QUARTA-FEIRA</t>
        </is>
      </c>
      <c r="G1" s="59" t="inlineStr">
        <is>
          <t>QUINTA-FEIRA</t>
        </is>
      </c>
      <c r="H1" s="59" t="inlineStr">
        <is>
          <t>SEXTA-FEIRA</t>
        </is>
      </c>
      <c r="I1" s="60" t="n"/>
      <c r="J1" s="71" t="inlineStr">
        <is>
          <t xml:space="preserve">Presencial </t>
        </is>
      </c>
    </row>
    <row r="2">
      <c r="A2" s="6" t="n">
        <v>5</v>
      </c>
      <c r="B2" s="6" t="inlineStr">
        <is>
          <t>SPIN</t>
        </is>
      </c>
      <c r="C2" t="inlineStr">
        <is>
          <t>Marcos Dias Moreira Junior</t>
        </is>
      </c>
      <c r="D2" s="10" t="inlineStr">
        <is>
          <t xml:space="preserve">Presencial </t>
        </is>
      </c>
      <c r="E2" s="6" t="inlineStr">
        <is>
          <t>Home Office</t>
        </is>
      </c>
      <c r="F2" s="10" t="inlineStr">
        <is>
          <t xml:space="preserve">Presencial </t>
        </is>
      </c>
      <c r="G2" s="10" t="inlineStr">
        <is>
          <t xml:space="preserve">Presencial </t>
        </is>
      </c>
      <c r="H2" s="10" t="inlineStr">
        <is>
          <t xml:space="preserve">Presencial </t>
        </is>
      </c>
      <c r="I2" s="62" t="n"/>
    </row>
    <row r="3">
      <c r="A3" s="6" t="n">
        <v>5</v>
      </c>
      <c r="B3" s="6" t="inlineStr">
        <is>
          <t>SPIN</t>
        </is>
      </c>
      <c r="C3" t="inlineStr">
        <is>
          <t>Wellyskley Martins de Oliveira</t>
        </is>
      </c>
      <c r="D3" s="10" t="inlineStr">
        <is>
          <t xml:space="preserve">Presencial 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10" t="inlineStr">
        <is>
          <t xml:space="preserve">Presencial </t>
        </is>
      </c>
      <c r="H3" s="10" t="inlineStr">
        <is>
          <t xml:space="preserve">Presencial </t>
        </is>
      </c>
      <c r="I3" s="62" t="n"/>
    </row>
    <row r="4">
      <c r="A4" s="6" t="n">
        <v>5</v>
      </c>
      <c r="B4" s="6" t="inlineStr">
        <is>
          <t>SPIN</t>
        </is>
      </c>
      <c r="C4" t="inlineStr">
        <is>
          <t>Cristiano Ribeiro</t>
        </is>
      </c>
      <c r="D4" s="10" t="inlineStr">
        <is>
          <t xml:space="preserve">Presencial </t>
        </is>
      </c>
      <c r="E4" s="10" t="inlineStr">
        <is>
          <t xml:space="preserve">Presencial </t>
        </is>
      </c>
      <c r="F4" s="10" t="inlineStr">
        <is>
          <t xml:space="preserve">Presencial </t>
        </is>
      </c>
      <c r="G4" s="10" t="inlineStr">
        <is>
          <t xml:space="preserve">Presencial </t>
        </is>
      </c>
      <c r="H4" s="10" t="inlineStr">
        <is>
          <t xml:space="preserve">Presencial </t>
        </is>
      </c>
      <c r="I4" s="62" t="n"/>
    </row>
    <row r="5">
      <c r="A5" s="6" t="n">
        <v>5</v>
      </c>
      <c r="B5" s="6" t="inlineStr">
        <is>
          <t>SPIN</t>
        </is>
      </c>
      <c r="C5" t="inlineStr">
        <is>
          <t>Raiane Kezia</t>
        </is>
      </c>
      <c r="D5" s="6" t="inlineStr">
        <is>
          <t>Home Office</t>
        </is>
      </c>
      <c r="E5" s="10" t="inlineStr">
        <is>
          <t xml:space="preserve">Presencial </t>
        </is>
      </c>
      <c r="F5" s="10" t="inlineStr">
        <is>
          <t xml:space="preserve">Presencial </t>
        </is>
      </c>
      <c r="G5" s="10" t="inlineStr">
        <is>
          <t xml:space="preserve">Presencial </t>
        </is>
      </c>
      <c r="H5" s="6" t="inlineStr">
        <is>
          <t>Home Office</t>
        </is>
      </c>
      <c r="I5" s="62" t="n"/>
    </row>
    <row r="6">
      <c r="A6" s="6" t="n">
        <v>5</v>
      </c>
      <c r="B6" s="6" t="inlineStr">
        <is>
          <t>SPIN</t>
        </is>
      </c>
      <c r="C6" t="inlineStr">
        <is>
          <t>Enilton Aparecido Horacio</t>
        </is>
      </c>
      <c r="D6" s="10" t="inlineStr">
        <is>
          <t xml:space="preserve">Presencial </t>
        </is>
      </c>
      <c r="E6" s="10" t="inlineStr">
        <is>
          <t xml:space="preserve">Presencial </t>
        </is>
      </c>
      <c r="F6" s="10" t="inlineStr">
        <is>
          <t xml:space="preserve">Presencial </t>
        </is>
      </c>
      <c r="G6" s="10" t="inlineStr">
        <is>
          <t xml:space="preserve">Presencial </t>
        </is>
      </c>
      <c r="H6" s="10" t="inlineStr">
        <is>
          <t xml:space="preserve">Presencial </t>
        </is>
      </c>
      <c r="I6" s="62" t="n"/>
    </row>
    <row r="7">
      <c r="A7" s="6" t="n">
        <v>5</v>
      </c>
      <c r="B7" s="6" t="inlineStr">
        <is>
          <t>SPIN</t>
        </is>
      </c>
      <c r="C7" t="inlineStr">
        <is>
          <t>Raphael Lemes Vieira</t>
        </is>
      </c>
      <c r="D7" s="10" t="inlineStr">
        <is>
          <t xml:space="preserve">Presencial </t>
        </is>
      </c>
      <c r="E7" s="10" t="inlineStr">
        <is>
          <t xml:space="preserve">Presencial </t>
        </is>
      </c>
      <c r="F7" s="6" t="inlineStr">
        <is>
          <t>Home Office</t>
        </is>
      </c>
      <c r="G7" s="6" t="inlineStr">
        <is>
          <t>Home Office</t>
        </is>
      </c>
      <c r="H7" s="6" t="inlineStr">
        <is>
          <t>Home Office</t>
        </is>
      </c>
      <c r="I7" s="62" t="n"/>
    </row>
    <row r="8">
      <c r="A8" s="6" t="n"/>
      <c r="B8" s="6" t="n"/>
      <c r="C8" s="64" t="inlineStr">
        <is>
          <t xml:space="preserve">Motorista </t>
        </is>
      </c>
      <c r="D8" s="10" t="inlineStr">
        <is>
          <t xml:space="preserve">Presencial </t>
        </is>
      </c>
      <c r="E8" s="10" t="inlineStr">
        <is>
          <t xml:space="preserve">Presencial </t>
        </is>
      </c>
      <c r="F8" s="10" t="inlineStr">
        <is>
          <t xml:space="preserve">Presencial </t>
        </is>
      </c>
      <c r="G8" s="10" t="inlineStr">
        <is>
          <t xml:space="preserve">Presencial </t>
        </is>
      </c>
      <c r="H8" s="10" t="inlineStr">
        <is>
          <t xml:space="preserve">Presencial </t>
        </is>
      </c>
      <c r="I8" s="62" t="n"/>
    </row>
    <row r="9">
      <c r="A9" s="63" t="n"/>
      <c r="B9" s="6" t="inlineStr">
        <is>
          <t>PX 1688</t>
        </is>
      </c>
      <c r="I9" s="62" t="n"/>
    </row>
    <row r="10">
      <c r="A10" s="63" t="n"/>
      <c r="I10" s="62" t="n"/>
    </row>
    <row r="11" ht="15.75" customHeight="1" s="7" thickBot="1">
      <c r="A11" s="63" t="n"/>
      <c r="C11" s="64" t="inlineStr">
        <is>
          <t xml:space="preserve">Total de colaboradores Presencial </t>
        </is>
      </c>
      <c r="D11">
        <f>COUNTIFS(D2:D8,$J$1)</f>
        <v/>
      </c>
      <c r="E11">
        <f>COUNTIFS(E2:E8,$J$1)</f>
        <v/>
      </c>
      <c r="F11">
        <f>COUNTIFS(F2:F8,$J$1)</f>
        <v/>
      </c>
      <c r="G11">
        <f>COUNTIFS(G2:G8,$J$1)</f>
        <v/>
      </c>
      <c r="H11">
        <f>COUNTIFS(H2:H8,$J$1)</f>
        <v/>
      </c>
      <c r="I11" s="62" t="n"/>
    </row>
    <row r="12" ht="30.75" customHeight="1" s="7" thickBot="1">
      <c r="A12" s="65" t="n"/>
      <c r="B12" s="66" t="n"/>
      <c r="C12" s="66" t="n"/>
      <c r="D12" s="59" t="inlineStr">
        <is>
          <t>SEGUNDA-FEIRA</t>
        </is>
      </c>
      <c r="E12" s="59" t="inlineStr">
        <is>
          <t>TERÇA-FEIRA</t>
        </is>
      </c>
      <c r="F12" s="59" t="inlineStr">
        <is>
          <t>QUARTA-FEIRA</t>
        </is>
      </c>
      <c r="G12" s="59" t="inlineStr">
        <is>
          <t>QUINTA-FEIRA</t>
        </is>
      </c>
      <c r="H12" s="59" t="inlineStr">
        <is>
          <t>SEXTA-FEIRA</t>
        </is>
      </c>
      <c r="I12" s="67" t="n"/>
    </row>
    <row r="14">
      <c r="C14" t="inlineStr">
        <is>
          <t>Motorista EXECUTIVO</t>
        </is>
      </c>
    </row>
    <row r="15">
      <c r="B15" t="inlineStr">
        <is>
          <t>Turno A</t>
        </is>
      </c>
      <c r="C15" t="inlineStr">
        <is>
          <t>Alaerte</t>
        </is>
      </c>
    </row>
    <row r="16">
      <c r="B16" t="inlineStr">
        <is>
          <t xml:space="preserve">Turno C </t>
        </is>
      </c>
      <c r="C16" t="inlineStr">
        <is>
          <t>Eugenio</t>
        </is>
      </c>
    </row>
  </sheetData>
  <conditionalFormatting sqref="J1">
    <cfRule type="containsText" priority="43" operator="containsText" dxfId="0" text="Home Office">
      <formula>NOT(ISERROR(SEARCH("Home Office",J1)))</formula>
    </cfRule>
  </conditionalFormatting>
  <conditionalFormatting sqref="E5:G5 E6:H6">
    <cfRule type="containsText" priority="19" operator="containsText" dxfId="0" text="Home Office">
      <formula>NOT(ISERROR(SEARCH("Home Office",E5)))</formula>
    </cfRule>
  </conditionalFormatting>
  <conditionalFormatting sqref="H4">
    <cfRule type="containsText" priority="17" operator="containsText" dxfId="0" text="Home Office">
      <formula>NOT(ISERROR(SEARCH("Home Office",H4)))</formula>
    </cfRule>
  </conditionalFormatting>
  <conditionalFormatting sqref="E7">
    <cfRule type="containsText" priority="16" operator="containsText" dxfId="0" text="Home Office">
      <formula>NOT(ISERROR(SEARCH("Home Office",E7)))</formula>
    </cfRule>
  </conditionalFormatting>
  <conditionalFormatting sqref="D8:H8">
    <cfRule type="containsText" priority="14" operator="containsText" dxfId="0" text="Home Office">
      <formula>NOT(ISERROR(SEARCH("Home Office",D8)))</formula>
    </cfRule>
  </conditionalFormatting>
  <conditionalFormatting sqref="D3:H3">
    <cfRule type="containsText" priority="21" operator="containsText" dxfId="0" text="Home Office">
      <formula>NOT(ISERROR(SEARCH("Home Office",D3)))</formula>
    </cfRule>
  </conditionalFormatting>
  <conditionalFormatting sqref="D4 D6">
    <cfRule type="containsText" priority="20" operator="containsText" dxfId="0" text="Home Office">
      <formula>NOT(ISERROR(SEARCH("Home Office",D4)))</formula>
    </cfRule>
  </conditionalFormatting>
  <conditionalFormatting sqref="F2">
    <cfRule type="containsText" priority="26" operator="containsText" dxfId="0" text="Home Office">
      <formula>NOT(ISERROR(SEARCH("Home Office",F2)))</formula>
    </cfRule>
  </conditionalFormatting>
  <conditionalFormatting sqref="G2">
    <cfRule type="containsText" priority="25" operator="containsText" dxfId="0" text="Home Office">
      <formula>NOT(ISERROR(SEARCH("Home Office",G2)))</formula>
    </cfRule>
  </conditionalFormatting>
  <conditionalFormatting sqref="H2">
    <cfRule type="containsText" priority="23" operator="containsText" dxfId="0" text="Home Office">
      <formula>NOT(ISERROR(SEARCH("Home Office",H2)))</formula>
    </cfRule>
  </conditionalFormatting>
  <conditionalFormatting sqref="E4">
    <cfRule type="containsText" priority="13" operator="containsText" dxfId="0" text="Home Office">
      <formula>NOT(ISERROR(SEARCH("Home Office",E4)))</formula>
    </cfRule>
  </conditionalFormatting>
  <conditionalFormatting sqref="F4">
    <cfRule type="containsText" priority="12" operator="containsText" dxfId="0" text="Home Office">
      <formula>NOT(ISERROR(SEARCH("Home Office",F4)))</formula>
    </cfRule>
  </conditionalFormatting>
  <conditionalFormatting sqref="G4">
    <cfRule type="containsText" priority="11" operator="containsText" dxfId="0" text="Home Office">
      <formula>NOT(ISERROR(SEARCH("Home Office",G4)))</formula>
    </cfRule>
  </conditionalFormatting>
  <conditionalFormatting sqref="D7">
    <cfRule type="containsText" priority="10" operator="containsText" dxfId="0" text="Home Office">
      <formula>NOT(ISERROR(SEARCH("Home Office",D7)))</formula>
    </cfRule>
  </conditionalFormatting>
  <conditionalFormatting sqref="D2">
    <cfRule type="containsText" priority="1" operator="containsText" dxfId="0" text="Home Office">
      <formula>NOT(ISERROR(SEARCH("Home Office",D2)))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C18" sqref="C18"/>
    </sheetView>
  </sheetViews>
  <sheetFormatPr baseColWidth="8" defaultColWidth="9.1328125" defaultRowHeight="14.25"/>
  <cols>
    <col width="9.1328125" customWidth="1" style="7" min="1" max="2"/>
    <col width="36.59765625" bestFit="1" customWidth="1" style="7" min="3" max="3"/>
    <col width="18.86328125" customWidth="1" style="7" min="4" max="4"/>
    <col width="12.1328125" bestFit="1" customWidth="1" style="7" min="5" max="5"/>
    <col width="17.3984375" customWidth="1" style="7" min="6" max="6"/>
    <col width="17.59765625" customWidth="1" style="7" min="7" max="7"/>
    <col width="12.1328125" bestFit="1" customWidth="1" style="7" min="8" max="8"/>
    <col width="12.1328125" customWidth="1" style="7" min="9" max="10"/>
    <col width="9.1328125" customWidth="1" style="7" min="11" max="12"/>
    <col width="9.1328125" customWidth="1" style="7" min="13" max="16384"/>
  </cols>
  <sheetData>
    <row r="1" ht="30" customHeight="1" s="7">
      <c r="A1" s="57" t="inlineStr">
        <is>
          <t>ROTA</t>
        </is>
      </c>
      <c r="B1" s="58" t="inlineStr">
        <is>
          <t>VEÍCULOS</t>
        </is>
      </c>
      <c r="C1" s="59" t="inlineStr">
        <is>
          <t>COLABORADOR</t>
        </is>
      </c>
      <c r="D1" s="59" t="inlineStr">
        <is>
          <t>SEGUNDA-FEIRA</t>
        </is>
      </c>
      <c r="E1" s="59" t="inlineStr">
        <is>
          <t>TERÇA-FEIRA</t>
        </is>
      </c>
      <c r="F1" s="59" t="inlineStr">
        <is>
          <t>QUARTA-FEIRA</t>
        </is>
      </c>
      <c r="G1" s="59" t="inlineStr">
        <is>
          <t>QUINTA-FEIRA</t>
        </is>
      </c>
      <c r="H1" s="59" t="inlineStr">
        <is>
          <t>SEXTA-FEIRA</t>
        </is>
      </c>
      <c r="I1" s="59" t="inlineStr">
        <is>
          <t>SÁBADO</t>
        </is>
      </c>
      <c r="J1" s="59" t="inlineStr">
        <is>
          <t>DOMINGO</t>
        </is>
      </c>
      <c r="K1" s="60" t="n"/>
      <c r="L1" s="71" t="inlineStr">
        <is>
          <t xml:space="preserve">Presencial </t>
        </is>
      </c>
    </row>
    <row r="2">
      <c r="A2" s="6" t="n">
        <v>6</v>
      </c>
      <c r="B2" s="6" t="inlineStr">
        <is>
          <t>SPIN</t>
        </is>
      </c>
      <c r="C2" t="inlineStr">
        <is>
          <t>Armando Donizetti Miranda</t>
        </is>
      </c>
      <c r="D2" s="10" t="inlineStr">
        <is>
          <t xml:space="preserve">Presencial </t>
        </is>
      </c>
      <c r="E2" s="10" t="inlineStr">
        <is>
          <t xml:space="preserve">Presencial </t>
        </is>
      </c>
      <c r="F2" s="10" t="inlineStr">
        <is>
          <t xml:space="preserve">Presencial </t>
        </is>
      </c>
      <c r="G2" s="10" t="inlineStr">
        <is>
          <t xml:space="preserve">Presencial </t>
        </is>
      </c>
      <c r="H2" s="10" t="inlineStr">
        <is>
          <t xml:space="preserve">Presencial </t>
        </is>
      </c>
      <c r="I2" s="10" t="inlineStr">
        <is>
          <t xml:space="preserve">Presencial </t>
        </is>
      </c>
      <c r="J2" s="78" t="inlineStr">
        <is>
          <t xml:space="preserve">Presencial </t>
        </is>
      </c>
      <c r="K2" s="62" t="n"/>
    </row>
    <row r="3">
      <c r="A3" s="6" t="n">
        <v>6</v>
      </c>
      <c r="B3" s="6" t="inlineStr">
        <is>
          <t>SPIN</t>
        </is>
      </c>
      <c r="C3" t="inlineStr">
        <is>
          <t>Djalma Jose dos Santos Netto</t>
        </is>
      </c>
      <c r="D3" s="78" t="inlineStr">
        <is>
          <t xml:space="preserve">Presencial </t>
        </is>
      </c>
      <c r="E3" s="10" t="inlineStr">
        <is>
          <t xml:space="preserve">Presencial </t>
        </is>
      </c>
      <c r="F3" s="10" t="inlineStr">
        <is>
          <t xml:space="preserve">Presencial </t>
        </is>
      </c>
      <c r="G3" s="10" t="inlineStr">
        <is>
          <t xml:space="preserve">Presencial </t>
        </is>
      </c>
      <c r="H3" s="10" t="inlineStr">
        <is>
          <t xml:space="preserve">Presencial </t>
        </is>
      </c>
      <c r="I3" s="10" t="inlineStr">
        <is>
          <t xml:space="preserve">Presencial </t>
        </is>
      </c>
      <c r="J3" s="10" t="inlineStr">
        <is>
          <t xml:space="preserve">Presencial </t>
        </is>
      </c>
      <c r="K3" s="62" t="n"/>
    </row>
    <row r="4">
      <c r="A4" s="6" t="n">
        <v>6</v>
      </c>
      <c r="B4" s="6" t="inlineStr">
        <is>
          <t>SPIN</t>
        </is>
      </c>
      <c r="C4" t="inlineStr">
        <is>
          <t>Carlos Henrique Apolinario Silva</t>
        </is>
      </c>
      <c r="D4" s="10" t="inlineStr">
        <is>
          <t xml:space="preserve">Presencial </t>
        </is>
      </c>
      <c r="E4" s="78" t="inlineStr">
        <is>
          <t xml:space="preserve">Presencial </t>
        </is>
      </c>
      <c r="F4" s="10" t="inlineStr">
        <is>
          <t xml:space="preserve">Presencial </t>
        </is>
      </c>
      <c r="G4" s="10" t="inlineStr">
        <is>
          <t xml:space="preserve">Presencial </t>
        </is>
      </c>
      <c r="H4" s="10" t="inlineStr">
        <is>
          <t xml:space="preserve">Presencial </t>
        </is>
      </c>
      <c r="I4" s="10" t="inlineStr">
        <is>
          <t xml:space="preserve">Presencial </t>
        </is>
      </c>
      <c r="J4" s="10" t="inlineStr">
        <is>
          <t xml:space="preserve">Presencial </t>
        </is>
      </c>
      <c r="K4" s="62" t="n"/>
    </row>
    <row r="5">
      <c r="A5" s="6" t="n">
        <v>6</v>
      </c>
      <c r="B5" s="6" t="inlineStr">
        <is>
          <t>SPIN</t>
        </is>
      </c>
      <c r="C5" t="inlineStr">
        <is>
          <t>Meire</t>
        </is>
      </c>
      <c r="D5" s="10" t="inlineStr">
        <is>
          <t xml:space="preserve">Presencial </t>
        </is>
      </c>
      <c r="E5" s="78" t="inlineStr">
        <is>
          <t xml:space="preserve">Presencial </t>
        </is>
      </c>
      <c r="F5" s="10" t="inlineStr">
        <is>
          <t xml:space="preserve">Presencial </t>
        </is>
      </c>
      <c r="G5" s="10" t="inlineStr">
        <is>
          <t xml:space="preserve">Presencial </t>
        </is>
      </c>
      <c r="H5" s="10" t="inlineStr">
        <is>
          <t xml:space="preserve">Presencial </t>
        </is>
      </c>
      <c r="I5" s="10" t="inlineStr">
        <is>
          <t xml:space="preserve">Presencial </t>
        </is>
      </c>
      <c r="J5" s="10" t="inlineStr">
        <is>
          <t xml:space="preserve">Presencial </t>
        </is>
      </c>
      <c r="K5" s="62" t="n"/>
    </row>
    <row r="6">
      <c r="A6" s="6" t="n">
        <v>6</v>
      </c>
      <c r="B6" s="6" t="inlineStr">
        <is>
          <t>SPIN</t>
        </is>
      </c>
      <c r="C6" t="inlineStr">
        <is>
          <t>Hyago Inacio Sandoval</t>
        </is>
      </c>
      <c r="D6" s="10" t="inlineStr">
        <is>
          <t xml:space="preserve">Presencial </t>
        </is>
      </c>
      <c r="E6" s="10" t="inlineStr">
        <is>
          <t xml:space="preserve">Presencial </t>
        </is>
      </c>
      <c r="F6" s="10" t="inlineStr">
        <is>
          <t xml:space="preserve">Presencial </t>
        </is>
      </c>
      <c r="G6" s="10" t="inlineStr">
        <is>
          <t xml:space="preserve">Presencial </t>
        </is>
      </c>
      <c r="H6" s="10" t="inlineStr">
        <is>
          <t xml:space="preserve">Presencial </t>
        </is>
      </c>
      <c r="I6" s="10" t="inlineStr">
        <is>
          <t xml:space="preserve">Presencial </t>
        </is>
      </c>
      <c r="J6" s="78" t="inlineStr">
        <is>
          <t xml:space="preserve">Presencial </t>
        </is>
      </c>
      <c r="K6" s="62" t="n"/>
    </row>
    <row r="7">
      <c r="A7" s="6" t="n"/>
      <c r="B7" s="6" t="n"/>
      <c r="C7" s="64" t="inlineStr">
        <is>
          <t xml:space="preserve">Motorista </t>
        </is>
      </c>
      <c r="D7" s="10" t="inlineStr">
        <is>
          <t xml:space="preserve">Presencial </t>
        </is>
      </c>
      <c r="E7" s="10" t="inlineStr">
        <is>
          <t xml:space="preserve">Presencial </t>
        </is>
      </c>
      <c r="F7" s="10" t="inlineStr">
        <is>
          <t xml:space="preserve">Presencial </t>
        </is>
      </c>
      <c r="G7" s="10" t="inlineStr">
        <is>
          <t xml:space="preserve">Presencial </t>
        </is>
      </c>
      <c r="H7" s="10" t="inlineStr">
        <is>
          <t xml:space="preserve">Presencial </t>
        </is>
      </c>
      <c r="I7" s="10" t="inlineStr">
        <is>
          <t xml:space="preserve">Presencial </t>
        </is>
      </c>
      <c r="J7" s="10" t="inlineStr">
        <is>
          <t xml:space="preserve">Presencial </t>
        </is>
      </c>
      <c r="K7" s="62" t="n"/>
    </row>
    <row r="8">
      <c r="A8" s="63" t="n"/>
      <c r="B8" s="6" t="inlineStr">
        <is>
          <t>PX 1719</t>
        </is>
      </c>
      <c r="K8" s="62" t="n"/>
    </row>
    <row r="9">
      <c r="A9" s="63" t="n"/>
      <c r="K9" s="62" t="n"/>
    </row>
    <row r="10" ht="15.75" customHeight="1" s="7" thickBot="1">
      <c r="A10" s="63" t="n"/>
      <c r="C10" s="64" t="inlineStr">
        <is>
          <t xml:space="preserve">Total de colaboradores Presencial </t>
        </is>
      </c>
      <c r="D10">
        <f>COUNTIFS(D2:D7,$L$1)</f>
        <v/>
      </c>
      <c r="E10">
        <f>COUNTIFS(E2:E7,$L$1)</f>
        <v/>
      </c>
      <c r="F10">
        <f>COUNTIFS(F2:F7,$L$1)</f>
        <v/>
      </c>
      <c r="G10">
        <f>COUNTIFS(G2:G7,$L$1)</f>
        <v/>
      </c>
      <c r="H10">
        <f>COUNTIFS(H2:H7,$L$1)</f>
        <v/>
      </c>
      <c r="I10">
        <f>COUNTIFS(I2:I7,$L$1)</f>
        <v/>
      </c>
      <c r="J10">
        <f>COUNTIFS(J2:J7,$L$1)</f>
        <v/>
      </c>
      <c r="K10" s="62" t="n"/>
    </row>
    <row r="11" ht="30.75" customHeight="1" s="7" thickBot="1">
      <c r="A11" s="65" t="n"/>
      <c r="B11" s="66" t="n"/>
      <c r="C11" s="66" t="n"/>
      <c r="D11" s="59" t="inlineStr">
        <is>
          <t>SEGUNDA-FEIRA</t>
        </is>
      </c>
      <c r="E11" s="59" t="inlineStr">
        <is>
          <t>TERÇA-FEIRA</t>
        </is>
      </c>
      <c r="F11" s="59" t="inlineStr">
        <is>
          <t>QUARTA-FEIRA</t>
        </is>
      </c>
      <c r="G11" s="59" t="inlineStr">
        <is>
          <t>QUINTA-FEIRA</t>
        </is>
      </c>
      <c r="H11" s="59" t="inlineStr">
        <is>
          <t>SEXTA-FEIRA</t>
        </is>
      </c>
      <c r="I11" s="59" t="inlineStr">
        <is>
          <t>SÁBADO</t>
        </is>
      </c>
      <c r="J11" s="59" t="inlineStr">
        <is>
          <t>DOMINGO</t>
        </is>
      </c>
      <c r="K11" s="67" t="n"/>
    </row>
    <row r="13">
      <c r="C13" t="inlineStr">
        <is>
          <t>Motorista EXECUTIVO</t>
        </is>
      </c>
      <c r="D13" s="79" t="n"/>
      <c r="E13" s="79" t="n"/>
      <c r="F13" s="79" t="n"/>
      <c r="G13" s="79" t="n"/>
      <c r="H13" s="79" t="n"/>
      <c r="I13" s="79" t="n"/>
      <c r="J13" s="79" t="n"/>
    </row>
    <row r="14">
      <c r="B14" t="inlineStr">
        <is>
          <t>Turno A</t>
        </is>
      </c>
      <c r="C14" t="inlineStr">
        <is>
          <t>Luciana</t>
        </is>
      </c>
    </row>
    <row r="15">
      <c r="B15" t="inlineStr">
        <is>
          <t xml:space="preserve">Turno C </t>
        </is>
      </c>
      <c r="C15" t="inlineStr">
        <is>
          <t>Jose Alexandre</t>
        </is>
      </c>
    </row>
    <row r="16">
      <c r="B16" t="inlineStr">
        <is>
          <t>Folgista</t>
        </is>
      </c>
      <c r="C16" t="inlineStr">
        <is>
          <t>Daniela</t>
        </is>
      </c>
    </row>
  </sheetData>
  <conditionalFormatting sqref="D4:D6 E6:H6 L1">
    <cfRule type="containsText" priority="40" operator="containsText" dxfId="0" text="Home Office">
      <formula>NOT(ISERROR(SEARCH("Home Office",D1)))</formula>
    </cfRule>
  </conditionalFormatting>
  <conditionalFormatting sqref="H4:H5">
    <cfRule type="containsText" priority="29" operator="containsText" dxfId="0" text="Home Office">
      <formula>NOT(ISERROR(SEARCH("Home Office",H4)))</formula>
    </cfRule>
  </conditionalFormatting>
  <conditionalFormatting sqref="D7:H7">
    <cfRule type="containsText" priority="26" operator="containsText" dxfId="0" text="Home Office">
      <formula>NOT(ISERROR(SEARCH("Home Office",D7)))</formula>
    </cfRule>
  </conditionalFormatting>
  <conditionalFormatting sqref="F2">
    <cfRule type="containsText" priority="38" operator="containsText" dxfId="0" text="Home Office">
      <formula>NOT(ISERROR(SEARCH("Home Office",F2)))</formula>
    </cfRule>
  </conditionalFormatting>
  <conditionalFormatting sqref="G2">
    <cfRule type="containsText" priority="37" operator="containsText" dxfId="0" text="Home Office">
      <formula>NOT(ISERROR(SEARCH("Home Office",G2)))</formula>
    </cfRule>
  </conditionalFormatting>
  <conditionalFormatting sqref="H2">
    <cfRule type="containsText" priority="35" operator="containsText" dxfId="0" text="Home Office">
      <formula>NOT(ISERROR(SEARCH("Home Office",H2)))</formula>
    </cfRule>
  </conditionalFormatting>
  <conditionalFormatting sqref="F4:F5">
    <cfRule type="containsText" priority="30" operator="containsText" dxfId="0" text="Home Office">
      <formula>NOT(ISERROR(SEARCH("Home Office",F4)))</formula>
    </cfRule>
  </conditionalFormatting>
  <conditionalFormatting sqref="D2:J7">
    <cfRule type="containsText" priority="25" operator="containsText" dxfId="0" text="Home Office">
      <formula>NOT(ISERROR(SEARCH("Home Office",D2)))</formula>
    </cfRule>
  </conditionalFormatting>
  <conditionalFormatting sqref="E2">
    <cfRule type="containsText" priority="23" operator="containsText" dxfId="0" text="Home Office">
      <formula>NOT(ISERROR(SEARCH("Home Office",E2)))</formula>
    </cfRule>
  </conditionalFormatting>
  <conditionalFormatting sqref="E4:E5">
    <cfRule type="containsText" priority="22" operator="containsText" dxfId="0" text="Home Office">
      <formula>NOT(ISERROR(SEARCH("Home Office",E4)))</formula>
    </cfRule>
  </conditionalFormatting>
  <conditionalFormatting sqref="G4:G5">
    <cfRule type="containsText" priority="20" operator="containsText" dxfId="0" text="Home Office">
      <formula>NOT(ISERROR(SEARCH("Home Office",G4)))</formula>
    </cfRule>
  </conditionalFormatting>
  <conditionalFormatting sqref="D3:H3">
    <cfRule type="containsText" priority="14" operator="containsText" dxfId="0" text="Home Office">
      <formula>NOT(ISERROR(SEARCH("Home Office",#REF!)))</formula>
    </cfRule>
  </conditionalFormatting>
  <conditionalFormatting sqref="I6">
    <cfRule type="containsText" priority="13" operator="containsText" dxfId="0" text="Home Office">
      <formula>NOT(ISERROR(SEARCH("Home Office",I6)))</formula>
    </cfRule>
  </conditionalFormatting>
  <conditionalFormatting sqref="I4:I5">
    <cfRule type="containsText" priority="11" operator="containsText" dxfId="0" text="Home Office">
      <formula>NOT(ISERROR(SEARCH("Home Office",I4)))</formula>
    </cfRule>
  </conditionalFormatting>
  <conditionalFormatting sqref="I7">
    <cfRule type="containsText" priority="10" operator="containsText" dxfId="0" text="Home Office">
      <formula>NOT(ISERROR(SEARCH("Home Office",I7)))</formula>
    </cfRule>
  </conditionalFormatting>
  <conditionalFormatting sqref="I2">
    <cfRule type="containsText" priority="12" operator="containsText" dxfId="0" text="Home Office">
      <formula>NOT(ISERROR(SEARCH("Home Office",I2)))</formula>
    </cfRule>
  </conditionalFormatting>
  <conditionalFormatting sqref="I3">
    <cfRule type="containsText" priority="9" operator="containsText" dxfId="0" text="Home Office">
      <formula>NOT(ISERROR(SEARCH("Home Office",#REF!)))</formula>
    </cfRule>
  </conditionalFormatting>
  <conditionalFormatting sqref="J6">
    <cfRule type="containsText" priority="8" operator="containsText" dxfId="0" text="Home Office">
      <formula>NOT(ISERROR(SEARCH("Home Office",J6)))</formula>
    </cfRule>
    <cfRule type="containsText" priority="1" operator="containsText" dxfId="0" text="Home Office">
      <formula>NOT(ISERROR(SEARCH("Home Office",J6)))</formula>
    </cfRule>
  </conditionalFormatting>
  <conditionalFormatting sqref="J4:J5">
    <cfRule type="containsText" priority="6" operator="containsText" dxfId="0" text="Home Office">
      <formula>NOT(ISERROR(SEARCH("Home Office",J4)))</formula>
    </cfRule>
  </conditionalFormatting>
  <conditionalFormatting sqref="J7">
    <cfRule type="containsText" priority="5" operator="containsText" dxfId="0" text="Home Office">
      <formula>NOT(ISERROR(SEARCH("Home Office",J7)))</formula>
    </cfRule>
  </conditionalFormatting>
  <conditionalFormatting sqref="J2">
    <cfRule type="containsText" priority="7" operator="containsText" dxfId="0" text="Home Office">
      <formula>NOT(ISERROR(SEARCH("Home Office",J2)))</formula>
    </cfRule>
    <cfRule type="containsText" priority="2" operator="containsText" dxfId="0" text="Home Office">
      <formula>NOT(ISERROR(SEARCH("Home Office",J2)))</formula>
    </cfRule>
  </conditionalFormatting>
  <conditionalFormatting sqref="J3">
    <cfRule type="containsText" priority="4" operator="containsText" dxfId="0" text="Home Office">
      <formula>NOT(ISERROR(SEARCH("Home Office",#REF!)))</formula>
    </cfRule>
  </conditionalFormatting>
  <conditionalFormatting sqref="D3">
    <cfRule type="containsText" priority="3" operator="containsText" dxfId="0" text="Home Office">
      <formula>NOT(ISERROR(SEARCH("Home Office",D3)))</formula>
    </cfRule>
  </conditionalFormatting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Treinando - Manutencao Automotva</dc:creator>
  <dcterms:created xsi:type="dcterms:W3CDTF">2024-06-27T16:36:43Z</dcterms:created>
  <dcterms:modified xsi:type="dcterms:W3CDTF">2026-06-23T00:37:37Z</dcterms:modified>
  <cp:lastModifiedBy>Mateus Paraiso de Lima</cp:lastModifiedBy>
</cp:coreProperties>
</file>